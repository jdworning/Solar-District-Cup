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comments1.bin" ContentType="application/vnd.ms-excel.comments"/>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3.xml" ContentType="application/vnd.openxmlformats-officedocument.drawing+xml"/>
  <Override PartName="/xl/comments2.bin" ContentType="application/vnd.ms-excel.comments"/>
  <Override PartName="/xl/threadedComments/threadedComment2.xml" ContentType="application/vnd.ms-excel.threadedcomments+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4.xml" ContentType="application/vnd.openxmlformats-officedocument.drawing+xml"/>
  <Override PartName="/xl/comments3.bin" ContentType="application/vnd.ms-excel.comments"/>
  <Override PartName="/xl/threadedComments/threadedComment3.xml" ContentType="application/vnd.ms-excel.threadedcomments+xml"/>
  <Override PartName="/xl/drawings/drawing5.xml" ContentType="application/vnd.openxmlformats-officedocument.drawing+xml"/>
  <Override PartName="/xl/comments4.bin" ContentType="application/vnd.ms-excel.comments"/>
  <Override PartName="/xl/threadedComments/threadedComment4.xml" ContentType="application/vnd.ms-excel.threadedcomment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sharedStrings" Target="sharedStrings.bin"/><Relationship Id="rId13" Type="http://schemas.openxmlformats.org/officeDocument/2006/relationships/customXml" Target="../customXml/item3.xml"/><Relationship Id="rId3" Type="http://schemas.openxmlformats.org/officeDocument/2006/relationships/worksheet" Target="worksheets/sheet3.bin"/><Relationship Id="rId7" Type="http://schemas.openxmlformats.org/officeDocument/2006/relationships/styles" Target="styles.bin"/><Relationship Id="rId12" Type="http://schemas.openxmlformats.org/officeDocument/2006/relationships/customXml" Target="../customXml/item2.xml"/><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bin"/><Relationship Id="rId10" Type="http://schemas.openxmlformats.org/officeDocument/2006/relationships/calcChain" Target="calcChain.bin"/><Relationship Id="rId4" Type="http://schemas.openxmlformats.org/officeDocument/2006/relationships/worksheet" Target="worksheets/sheet4.bin"/><Relationship Id="rId9"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Cumulative Project Cash/Tax Benefits</a:t>
            </a:r>
          </a:p>
        </c:rich>
      </c:tx>
      <c:layout>
        <c:manualLayout>
          <c:xMode val="edge"/>
          <c:yMode val="edge"/>
          <c:x val="0.37723349033430897"/>
          <c:y val="1.22507449370755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manualLayout>
          <c:layoutTarget val="inner"/>
          <c:xMode val="edge"/>
          <c:yMode val="edge"/>
          <c:x val="0.11218736276642463"/>
          <c:y val="0.13148033650376501"/>
          <c:w val="0.86124768936956808"/>
          <c:h val="0.78448275862068895"/>
        </c:manualLayout>
      </c:layout>
      <c:lineChart>
        <c:grouping val="standard"/>
        <c:varyColors val="0"/>
        <c:ser>
          <c:idx val="0"/>
          <c:order val="0"/>
          <c:spPr>
            <a:ln w="31750" cap="rnd">
              <a:solidFill>
                <a:schemeClr val="accent1"/>
              </a:solidFill>
              <a:round/>
            </a:ln>
            <a:effectLst/>
          </c:spPr>
          <c:marker>
            <c:symbol val="none"/>
          </c:marker>
          <c:dLbls>
            <c:delete val="1"/>
          </c:dLbls>
          <c:cat>
            <c:numRef>
              <c:f>Unstructured!$C$110:$AB$110</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cat>
          <c:val>
            <c:numRef>
              <c:f>Unstructured!$C$88:$AB$88</c:f>
              <c:numCache>
                <c:formatCode>"$"#,##0_);\("$"#,##0\)</c:formatCode>
                <c:ptCount val="26"/>
                <c:pt idx="0">
                  <c:v>-2500000</c:v>
                </c:pt>
                <c:pt idx="1">
                  <c:v>-2028740.65</c:v>
                </c:pt>
                <c:pt idx="2">
                  <c:v>-1554412.9722937499</c:v>
                </c:pt>
                <c:pt idx="3">
                  <c:v>-1385045.3529305882</c:v>
                </c:pt>
                <c:pt idx="4">
                  <c:v>-1212495.1619841461</c:v>
                </c:pt>
                <c:pt idx="5">
                  <c:v>-1036703.7360904953</c:v>
                </c:pt>
                <c:pt idx="6">
                  <c:v>-857611.36070750596</c:v>
                </c:pt>
                <c:pt idx="7">
                  <c:v>-675157.25209158508</c:v>
                </c:pt>
                <c:pt idx="8">
                  <c:v>-489279.53898792318</c:v>
                </c:pt>
                <c:pt idx="9">
                  <c:v>-299915.2440303514</c:v>
                </c:pt>
                <c:pt idx="10">
                  <c:v>-107000.26484687399</c:v>
                </c:pt>
                <c:pt idx="11">
                  <c:v>89530.645133089507</c:v>
                </c:pt>
                <c:pt idx="12">
                  <c:v>289743.8961737497</c:v>
                </c:pt>
                <c:pt idx="13">
                  <c:v>493707.08203430893</c:v>
                </c:pt>
                <c:pt idx="14">
                  <c:v>701489.00008069945</c:v>
                </c:pt>
                <c:pt idx="15">
                  <c:v>913159.67171178595</c:v>
                </c:pt>
                <c:pt idx="16">
                  <c:v>1128790.3631041523</c:v>
                </c:pt>
                <c:pt idx="17">
                  <c:v>1348453.6062796193</c:v>
                </c:pt>
                <c:pt idx="18">
                  <c:v>1572223.220499668</c:v>
                </c:pt>
                <c:pt idx="19">
                  <c:v>1800174.3339909711</c:v>
                </c:pt>
                <c:pt idx="20">
                  <c:v>2032383.4060062605</c:v>
                </c:pt>
                <c:pt idx="21">
                  <c:v>2268928.2492247843</c:v>
                </c:pt>
                <c:pt idx="22">
                  <c:v>2509888.0524966302</c:v>
                </c:pt>
                <c:pt idx="23">
                  <c:v>2755343.4039352164</c:v>
                </c:pt>
                <c:pt idx="24">
                  <c:v>3005376.3143622749</c:v>
                </c:pt>
                <c:pt idx="25">
                  <c:v>3626733.9911096673</c:v>
                </c:pt>
              </c:numCache>
            </c:numRef>
          </c:val>
          <c:smooth val="0"/>
          <c:extLst>
            <c:ext xmlns:c16="http://schemas.microsoft.com/office/drawing/2014/chart" uri="{C3380CC4-5D6E-409C-BE32-E72D297353CC}">
              <c16:uniqueId val="{00000000-4765-F144-A209-AAB54303274B}"/>
            </c:ext>
          </c:extLst>
        </c:ser>
        <c:dLbls>
          <c:dLblPos val="ctr"/>
          <c:showLegendKey val="0"/>
          <c:showVal val="1"/>
          <c:showCatName val="0"/>
          <c:showSerName val="0"/>
          <c:showPercent val="0"/>
          <c:showBubbleSize val="0"/>
        </c:dLbls>
        <c:smooth val="0"/>
        <c:axId val="-1953494984"/>
        <c:axId val="-1951841704"/>
      </c:lineChart>
      <c:catAx>
        <c:axId val="-1953494984"/>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r>
                  <a:rPr lang="en-US" sz="1400"/>
                  <a:t>Years</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0" spcFirstLastPara="1" vertOverflow="ellipsis" wrap="square" anchor="ctr" anchorCtr="1"/>
          <a:lstStyle/>
          <a:p>
            <a:pPr>
              <a:defRPr sz="1400" b="1" i="0" u="none" strike="noStrike" kern="1200" cap="all" baseline="0">
                <a:solidFill>
                  <a:schemeClr val="dk1">
                    <a:lumMod val="75000"/>
                    <a:lumOff val="25000"/>
                  </a:schemeClr>
                </a:solidFill>
                <a:latin typeface="+mn-lt"/>
                <a:ea typeface="+mn-ea"/>
                <a:cs typeface="+mn-cs"/>
              </a:defRPr>
            </a:pPr>
            <a:endParaRPr lang="en-US"/>
          </a:p>
        </c:txPr>
        <c:crossAx val="-1951841704"/>
        <c:crosses val="autoZero"/>
        <c:auto val="1"/>
        <c:lblAlgn val="ctr"/>
        <c:lblOffset val="100"/>
        <c:noMultiLvlLbl val="0"/>
      </c:catAx>
      <c:valAx>
        <c:axId val="-1951841704"/>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quot;$&quot;#,##0_);\(&quot;$&quot;#,##0\)" sourceLinked="1"/>
        <c:majorTickMark val="out"/>
        <c:minorTickMark val="none"/>
        <c:tickLblPos val="nextTo"/>
        <c:spPr>
          <a:noFill/>
          <a:ln>
            <a:noFill/>
          </a:ln>
          <a:effectLst/>
        </c:spPr>
        <c:txPr>
          <a:bodyPr rot="0" spcFirstLastPara="1" vertOverflow="ellipsis"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crossAx val="-1953494984"/>
        <c:crosses val="autoZero"/>
        <c:crossBetween val="between"/>
      </c:valAx>
      <c:spPr>
        <a:noFill/>
        <a:ln>
          <a:noFill/>
        </a:ln>
        <a:effectLst/>
      </c:spPr>
    </c:plotArea>
    <c:plotVisOnly val="1"/>
    <c:dispBlanksAs val="gap"/>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16200000" scaled="1"/>
      <a:tileRect/>
    </a:gradFill>
    <a:ln w="9525" cap="flat" cmpd="sng" algn="ctr">
      <a:solidFill>
        <a:schemeClr val="dk1">
          <a:lumMod val="25000"/>
          <a:lumOff val="75000"/>
        </a:schemeClr>
      </a:solidFill>
      <a:round/>
    </a:ln>
    <a:effectLst/>
  </c:spPr>
  <c:txPr>
    <a:bodyPr/>
    <a:lstStyle/>
    <a:p>
      <a:pPr>
        <a:defRPr/>
      </a:pPr>
      <a:endParaRPr lang="en-US"/>
    </a:p>
  </c:txPr>
  <c:printSettings>
    <c:headerFooter alignWithMargins="0"/>
    <c:pageMargins b="0.750000000000004" l="0.70000000000000095" r="0.70000000000000095" t="0.750000000000004" header="0.3" footer="0.3"/>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Initial Capital Stack</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F4EC-6D4B-80FF-663DB5A61AEF}"/>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F4EC-6D4B-80FF-663DB5A61AEF}"/>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Unstructured!$C$133:$C$134</c:f>
              <c:strCache>
                <c:ptCount val="2"/>
                <c:pt idx="0">
                  <c:v>Equity</c:v>
                </c:pt>
                <c:pt idx="1">
                  <c:v>Debt</c:v>
                </c:pt>
              </c:strCache>
            </c:strRef>
          </c:cat>
          <c:val>
            <c:numRef>
              <c:f>Unstructured!$D$133:$D$134</c:f>
              <c:numCache>
                <c:formatCode>"$"#,##0</c:formatCode>
                <c:ptCount val="2"/>
                <c:pt idx="0">
                  <c:v>2500000</c:v>
                </c:pt>
                <c:pt idx="1">
                  <c:v>0</c:v>
                </c:pt>
              </c:numCache>
            </c:numRef>
          </c:val>
          <c:extLst>
            <c:ext xmlns:c16="http://schemas.microsoft.com/office/drawing/2014/chart" uri="{C3380CC4-5D6E-409C-BE32-E72D297353CC}">
              <c16:uniqueId val="{00000000-9A3D-5E45-B95A-9FF0E9F2E2A8}"/>
            </c:ext>
          </c:extLst>
        </c:ser>
        <c:dLbls>
          <c:showLegendKey val="0"/>
          <c:showVal val="0"/>
          <c:showCatName val="1"/>
          <c:showSerName val="0"/>
          <c:showPercent val="1"/>
          <c:showBubbleSize val="0"/>
          <c:showLeaderLines val="1"/>
        </c:dLbls>
      </c:pie3DChart>
      <c:spPr>
        <a:noFill/>
        <a:ln>
          <a:noFill/>
        </a:ln>
        <a:effectLst/>
      </c:spPr>
    </c:plotArea>
    <c:plotVisOnly val="1"/>
    <c:dispBlanksAs val="zero"/>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Unstructured!$C$143</c:f>
              <c:strCache>
                <c:ptCount val="1"/>
                <c:pt idx="0">
                  <c:v>Construction Loan Costs</c:v>
                </c:pt>
              </c:strCache>
            </c:strRef>
          </c:tx>
          <c:explosion val="25"/>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BE7C-6D44-8D07-765604E59416}"/>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BE7C-6D44-8D07-765604E59416}"/>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BE7C-6D44-8D07-765604E59416}"/>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extLst>
          </c:dLbls>
          <c:cat>
            <c:strRef>
              <c:f>Unstructured!$C$144:$C$146</c:f>
              <c:strCache>
                <c:ptCount val="3"/>
                <c:pt idx="0">
                  <c:v>Loan Principal</c:v>
                </c:pt>
                <c:pt idx="1">
                  <c:v>Interest</c:v>
                </c:pt>
                <c:pt idx="2">
                  <c:v>Fees</c:v>
                </c:pt>
              </c:strCache>
            </c:strRef>
          </c:cat>
          <c:val>
            <c:numRef>
              <c:f>Unstructured!$D$144:$D$146</c:f>
              <c:numCache>
                <c:formatCode>"$"#,##0</c:formatCode>
                <c:ptCount val="3"/>
                <c:pt idx="0">
                  <c:v>0</c:v>
                </c:pt>
                <c:pt idx="1">
                  <c:v>0</c:v>
                </c:pt>
                <c:pt idx="2">
                  <c:v>0</c:v>
                </c:pt>
              </c:numCache>
            </c:numRef>
          </c:val>
          <c:extLst>
            <c:ext xmlns:c16="http://schemas.microsoft.com/office/drawing/2014/chart" uri="{C3380CC4-5D6E-409C-BE32-E72D297353CC}">
              <c16:uniqueId val="{00000000-DBF5-714B-A164-F0F1B0ACD4CA}"/>
            </c:ext>
          </c:extLst>
        </c:ser>
        <c:dLbls>
          <c:showLegendKey val="0"/>
          <c:showVal val="0"/>
          <c:showCatName val="1"/>
          <c:showSerName val="0"/>
          <c:showPercent val="1"/>
          <c:showBubbleSize val="0"/>
          <c:showLeaderLines val="0"/>
        </c:dLbls>
      </c:pie3DChart>
      <c:spPr>
        <a:noFill/>
        <a:ln>
          <a:noFill/>
        </a:ln>
        <a:effectLst/>
      </c:spPr>
    </c:plotArea>
    <c:plotVisOnly val="1"/>
    <c:dispBlanksAs val="zero"/>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Estimated PPA Price vs. Utility Price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manualLayout>
          <c:layoutTarget val="inner"/>
          <c:xMode val="edge"/>
          <c:yMode val="edge"/>
          <c:x val="9.7939726958590614E-2"/>
          <c:y val="0.18618388962441643"/>
          <c:w val="0.80054815989727901"/>
          <c:h val="0.70296808584767612"/>
        </c:manualLayout>
      </c:layout>
      <c:lineChart>
        <c:grouping val="standard"/>
        <c:varyColors val="0"/>
        <c:ser>
          <c:idx val="0"/>
          <c:order val="0"/>
          <c:tx>
            <c:strRef>
              <c:f>'Customer Analysis'!$B$91</c:f>
              <c:strCache>
                <c:ptCount val="1"/>
                <c:pt idx="0">
                  <c:v>Current Utility Price</c:v>
                </c:pt>
              </c:strCache>
            </c:strRef>
          </c:tx>
          <c:spPr>
            <a:ln w="31750" cap="rnd">
              <a:solidFill>
                <a:schemeClr val="accent1"/>
              </a:solidFill>
              <a:round/>
            </a:ln>
            <a:effectLst/>
          </c:spPr>
          <c:marker>
            <c:symbol val="none"/>
          </c:marker>
          <c:dLbls>
            <c:delete val="1"/>
          </c:dLbls>
          <c:val>
            <c:numRef>
              <c:f>'Customer Analysis'!$D$91:$AB$91</c:f>
              <c:numCache>
                <c:formatCode>"$"#,##0.00_);\("$"#,##0.00\)</c:formatCode>
                <c:ptCount val="25"/>
                <c:pt idx="0">
                  <c:v>0.14560000000000001</c:v>
                </c:pt>
                <c:pt idx="1">
                  <c:v>0.151424</c:v>
                </c:pt>
                <c:pt idx="2">
                  <c:v>0.15748096</c:v>
                </c:pt>
                <c:pt idx="3">
                  <c:v>0.16378019839999999</c:v>
                </c:pt>
                <c:pt idx="4">
                  <c:v>0.17033140633600002</c:v>
                </c:pt>
                <c:pt idx="5">
                  <c:v>0.17714466258944003</c:v>
                </c:pt>
                <c:pt idx="6">
                  <c:v>0.18423044909301764</c:v>
                </c:pt>
                <c:pt idx="7">
                  <c:v>0.19159966705673834</c:v>
                </c:pt>
                <c:pt idx="8">
                  <c:v>0.1992636537390079</c:v>
                </c:pt>
                <c:pt idx="9">
                  <c:v>0.2072341998885682</c:v>
                </c:pt>
                <c:pt idx="10">
                  <c:v>0.21552356788411095</c:v>
                </c:pt>
                <c:pt idx="11">
                  <c:v>0.22414451059947538</c:v>
                </c:pt>
                <c:pt idx="12">
                  <c:v>0.23311029102345443</c:v>
                </c:pt>
                <c:pt idx="13">
                  <c:v>0.2424347026643926</c:v>
                </c:pt>
                <c:pt idx="14">
                  <c:v>0.25213209077096832</c:v>
                </c:pt>
                <c:pt idx="15">
                  <c:v>0.26221737440180704</c:v>
                </c:pt>
                <c:pt idx="16">
                  <c:v>0.27270606937787933</c:v>
                </c:pt>
                <c:pt idx="17">
                  <c:v>0.28361431215299449</c:v>
                </c:pt>
                <c:pt idx="18">
                  <c:v>0.29495888463911435</c:v>
                </c:pt>
                <c:pt idx="19">
                  <c:v>0.30675724002467891</c:v>
                </c:pt>
                <c:pt idx="20">
                  <c:v>0.31902752962566605</c:v>
                </c:pt>
                <c:pt idx="21">
                  <c:v>0.33178863081069276</c:v>
                </c:pt>
                <c:pt idx="22">
                  <c:v>0.34506017604312045</c:v>
                </c:pt>
                <c:pt idx="23">
                  <c:v>0.35886258308484531</c:v>
                </c:pt>
                <c:pt idx="24">
                  <c:v>0.37321708640823914</c:v>
                </c:pt>
              </c:numCache>
            </c:numRef>
          </c:val>
          <c:smooth val="0"/>
          <c:extLst>
            <c:ext xmlns:c16="http://schemas.microsoft.com/office/drawing/2014/chart" uri="{C3380CC4-5D6E-409C-BE32-E72D297353CC}">
              <c16:uniqueId val="{00000000-B233-7647-B3F7-61DC3510AD9A}"/>
            </c:ext>
          </c:extLst>
        </c:ser>
        <c:ser>
          <c:idx val="1"/>
          <c:order val="1"/>
          <c:tx>
            <c:strRef>
              <c:f>'Customer Analysis'!$B$92</c:f>
              <c:strCache>
                <c:ptCount val="1"/>
                <c:pt idx="0">
                  <c:v>Est. PPA Price</c:v>
                </c:pt>
              </c:strCache>
            </c:strRef>
          </c:tx>
          <c:spPr>
            <a:ln w="31750" cap="rnd">
              <a:solidFill>
                <a:schemeClr val="accent2"/>
              </a:solidFill>
              <a:round/>
            </a:ln>
            <a:effectLst/>
          </c:spPr>
          <c:marker>
            <c:symbol val="none"/>
          </c:marker>
          <c:dLbls>
            <c:delete val="1"/>
          </c:dLbls>
          <c:val>
            <c:numRef>
              <c:f>'Customer Analysis'!$D$92:$AB$92</c:f>
              <c:numCache>
                <c:formatCode>"$"#,##0.00_);\("$"#,##0.00\)</c:formatCode>
                <c:ptCount val="25"/>
                <c:pt idx="0">
                  <c:v>0.13</c:v>
                </c:pt>
                <c:pt idx="1">
                  <c:v>0.13324999999999998</c:v>
                </c:pt>
                <c:pt idx="2">
                  <c:v>0.13658124999999996</c:v>
                </c:pt>
                <c:pt idx="3">
                  <c:v>0.13999578124999995</c:v>
                </c:pt>
                <c:pt idx="4">
                  <c:v>0.14349567578124994</c:v>
                </c:pt>
                <c:pt idx="5">
                  <c:v>0.14708306767578117</c:v>
                </c:pt>
                <c:pt idx="6">
                  <c:v>0.15076014436767568</c:v>
                </c:pt>
                <c:pt idx="7">
                  <c:v>0.15452914797686756</c:v>
                </c:pt>
                <c:pt idx="8">
                  <c:v>0.15839237667628925</c:v>
                </c:pt>
                <c:pt idx="9">
                  <c:v>0.16235218609319646</c:v>
                </c:pt>
                <c:pt idx="10">
                  <c:v>0.16641099074552634</c:v>
                </c:pt>
                <c:pt idx="11">
                  <c:v>0.17057126551416449</c:v>
                </c:pt>
                <c:pt idx="12">
                  <c:v>0.17483554715201857</c:v>
                </c:pt>
                <c:pt idx="13">
                  <c:v>0.17920643583081902</c:v>
                </c:pt>
                <c:pt idx="14">
                  <c:v>0.18368659672658949</c:v>
                </c:pt>
                <c:pt idx="15">
                  <c:v>0.18827876164475421</c:v>
                </c:pt>
                <c:pt idx="16">
                  <c:v>0.19298573068587305</c:v>
                </c:pt>
                <c:pt idx="17">
                  <c:v>0.19781037395301987</c:v>
                </c:pt>
                <c:pt idx="18">
                  <c:v>0.20275563330184534</c:v>
                </c:pt>
                <c:pt idx="19">
                  <c:v>0.20782452413439145</c:v>
                </c:pt>
                <c:pt idx="20">
                  <c:v>0.21302013723775123</c:v>
                </c:pt>
                <c:pt idx="21">
                  <c:v>0.218345640668695</c:v>
                </c:pt>
                <c:pt idx="22">
                  <c:v>0.22380428168541236</c:v>
                </c:pt>
                <c:pt idx="23">
                  <c:v>0.22939938872754764</c:v>
                </c:pt>
                <c:pt idx="24">
                  <c:v>0.23513437344573632</c:v>
                </c:pt>
              </c:numCache>
            </c:numRef>
          </c:val>
          <c:smooth val="0"/>
          <c:extLst>
            <c:ext xmlns:c16="http://schemas.microsoft.com/office/drawing/2014/chart" uri="{C3380CC4-5D6E-409C-BE32-E72D297353CC}">
              <c16:uniqueId val="{00000001-B233-7647-B3F7-61DC3510AD9A}"/>
            </c:ext>
          </c:extLst>
        </c:ser>
        <c:dLbls>
          <c:dLblPos val="ctr"/>
          <c:showLegendKey val="0"/>
          <c:showVal val="1"/>
          <c:showCatName val="0"/>
          <c:showSerName val="0"/>
          <c:showPercent val="0"/>
          <c:showBubbleSize val="0"/>
        </c:dLbls>
        <c:smooth val="0"/>
        <c:axId val="-1967724328"/>
        <c:axId val="-1967711112"/>
      </c:lineChart>
      <c:catAx>
        <c:axId val="-1967724328"/>
        <c:scaling>
          <c:orientation val="minMax"/>
        </c:scaling>
        <c:delete val="0"/>
        <c:axPos val="b"/>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600" b="1" i="0" u="none" strike="noStrike" kern="1200" cap="all" baseline="0">
                <a:solidFill>
                  <a:schemeClr val="dk1">
                    <a:lumMod val="75000"/>
                    <a:lumOff val="25000"/>
                  </a:schemeClr>
                </a:solidFill>
                <a:latin typeface="+mn-lt"/>
                <a:ea typeface="+mn-ea"/>
                <a:cs typeface="+mn-cs"/>
              </a:defRPr>
            </a:pPr>
            <a:endParaRPr lang="en-US"/>
          </a:p>
        </c:txPr>
        <c:crossAx val="-1967711112"/>
        <c:crosses val="autoZero"/>
        <c:auto val="1"/>
        <c:lblAlgn val="ctr"/>
        <c:lblOffset val="100"/>
        <c:noMultiLvlLbl val="0"/>
      </c:catAx>
      <c:valAx>
        <c:axId val="-1967711112"/>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quot;$&quot;#,##0.00_);\(&quot;$&quot;#,##0.00\)" sourceLinked="1"/>
        <c:majorTickMark val="out"/>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crossAx val="-1967724328"/>
        <c:crosses val="autoZero"/>
        <c:crossBetween val="between"/>
      </c:valAx>
      <c:spPr>
        <a:noFill/>
        <a:ln>
          <a:noFill/>
        </a:ln>
        <a:effectLst/>
      </c:spPr>
    </c:plotArea>
    <c:legend>
      <c:legendPos val="b"/>
      <c:layout>
        <c:manualLayout>
          <c:xMode val="edge"/>
          <c:yMode val="edge"/>
          <c:x val="0.26703978549443907"/>
          <c:y val="0.70851717650337942"/>
          <c:w val="0.68519628391774767"/>
          <c:h val="0.10141139990244583"/>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14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Est. NPV of Customer Savings - 25 Yr. PPA</a:t>
            </a:r>
          </a:p>
        </c:rich>
      </c:tx>
      <c:layout>
        <c:manualLayout>
          <c:xMode val="edge"/>
          <c:yMode val="edge"/>
          <c:x val="0.16584349883725699"/>
          <c:y val="2.7777777777777801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stacked"/>
        <c:varyColors val="0"/>
        <c:ser>
          <c:idx val="0"/>
          <c:order val="0"/>
          <c:tx>
            <c:strRef>
              <c:f>'Customer Analysis'!$B$81</c:f>
              <c:strCache>
                <c:ptCount val="1"/>
                <c:pt idx="0">
                  <c:v>NPV of Customer Savings over 25 Year Term</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'Customer Analysis'!$D$81</c:f>
              <c:numCache>
                <c:formatCode>"$"#,##0_);\("$"#,##0\)</c:formatCode>
                <c:ptCount val="1"/>
                <c:pt idx="0">
                  <c:v>712069.50899572193</c:v>
                </c:pt>
              </c:numCache>
            </c:numRef>
          </c:val>
          <c:extLst>
            <c:ext xmlns:c16="http://schemas.microsoft.com/office/drawing/2014/chart" uri="{C3380CC4-5D6E-409C-BE32-E72D297353CC}">
              <c16:uniqueId val="{00000000-EAC6-3946-801D-D0FE1859239A}"/>
            </c:ext>
          </c:extLst>
        </c:ser>
        <c:dLbls>
          <c:dLblPos val="ctr"/>
          <c:showLegendKey val="0"/>
          <c:showVal val="1"/>
          <c:showCatName val="0"/>
          <c:showSerName val="0"/>
          <c:showPercent val="0"/>
          <c:showBubbleSize val="0"/>
        </c:dLbls>
        <c:gapWidth val="150"/>
        <c:overlap val="100"/>
        <c:axId val="-1952558792"/>
        <c:axId val="-1952555800"/>
      </c:barChart>
      <c:catAx>
        <c:axId val="-1952558792"/>
        <c:scaling>
          <c:orientation val="minMax"/>
        </c:scaling>
        <c:delete val="1"/>
        <c:axPos val="b"/>
        <c:majorTickMark val="none"/>
        <c:minorTickMark val="none"/>
        <c:tickLblPos val="nextTo"/>
        <c:crossAx val="-1952555800"/>
        <c:crosses val="autoZero"/>
        <c:auto val="1"/>
        <c:lblAlgn val="ctr"/>
        <c:lblOffset val="100"/>
        <c:noMultiLvlLbl val="0"/>
      </c:catAx>
      <c:valAx>
        <c:axId val="-1952555800"/>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title>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quot;$&quot;#,##0_);\(&quot;$&quot;#,##0\)" sourceLinked="1"/>
        <c:majorTickMark val="out"/>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crossAx val="-1952558792"/>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Est. Annual Customer Savings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stacked"/>
        <c:varyColors val="0"/>
        <c:ser>
          <c:idx val="0"/>
          <c:order val="0"/>
          <c:tx>
            <c:strRef>
              <c:f>'Customer Analysis'!$B$80</c:f>
              <c:strCache>
                <c:ptCount val="1"/>
                <c:pt idx="0">
                  <c:v>Customer Savings</c:v>
                </c:pt>
              </c:strCache>
            </c:strRef>
          </c:tx>
          <c:spPr>
            <a:solidFill>
              <a:schemeClr val="accent1">
                <a:alpha val="85000"/>
              </a:schemeClr>
            </a:solidFill>
            <a:ln w="9525" cap="flat" cmpd="sng" algn="ctr">
              <a:solidFill>
                <a:schemeClr val="lt1">
                  <a:alpha val="50000"/>
                </a:schemeClr>
              </a:solidFill>
              <a:round/>
            </a:ln>
            <a:effectLst/>
          </c:spPr>
          <c:invertIfNegative val="0"/>
          <c:dLbls>
            <c:delete val="1"/>
          </c:dLbls>
          <c:val>
            <c:numRef>
              <c:f>'Customer Analysis'!$D$80:$AB$80</c:f>
              <c:numCache>
                <c:formatCode>"$"#,##0_);\("$"#,##0\)</c:formatCode>
                <c:ptCount val="25"/>
                <c:pt idx="0">
                  <c:v>23672.921999999991</c:v>
                </c:pt>
                <c:pt idx="1">
                  <c:v>27441.059359350038</c:v>
                </c:pt>
                <c:pt idx="2">
                  <c:v>31398.846252321237</c:v>
                </c:pt>
                <c:pt idx="3">
                  <c:v>35554.045534959674</c:v>
                </c:pt>
                <c:pt idx="4">
                  <c:v>39914.713326366036</c:v>
                </c:pt>
                <c:pt idx="5">
                  <c:v>44489.209673673322</c:v>
                </c:pt>
                <c:pt idx="6">
                  <c:v>49286.209597297333</c:v>
                </c:pt>
                <c:pt idx="7">
                  <c:v>54314.714529874735</c:v>
                </c:pt>
                <c:pt idx="8">
                  <c:v>59584.064162772876</c:v>
                </c:pt>
                <c:pt idx="9">
                  <c:v>65103.948714545055</c:v>
                </c:pt>
                <c:pt idx="10">
                  <c:v>70884.421636207291</c:v>
                </c:pt>
                <c:pt idx="11">
                  <c:v>76935.912768732931</c:v>
                </c:pt>
                <c:pt idx="12">
                  <c:v>83269.241968704795</c:v>
                </c:pt>
                <c:pt idx="13">
                  <c:v>89895.633218618575</c:v>
                </c:pt>
                <c:pt idx="14">
                  <c:v>96826.729238913715</c:v>
                </c:pt>
                <c:pt idx="15">
                  <c:v>104074.60661940282</c:v>
                </c:pt>
                <c:pt idx="16">
                  <c:v>111651.7914883921</c:v>
                </c:pt>
                <c:pt idx="17">
                  <c:v>119571.27573842497</c:v>
                </c:pt>
                <c:pt idx="18">
                  <c:v>127846.53382824565</c:v>
                </c:pt>
                <c:pt idx="19">
                  <c:v>136491.54018126271</c:v>
                </c:pt>
                <c:pt idx="20">
                  <c:v>145520.78720150853</c:v>
                </c:pt>
                <c:pt idx="21">
                  <c:v>154949.30392882007</c:v>
                </c:pt>
                <c:pt idx="22">
                  <c:v>164792.67535572936</c:v>
                </c:pt>
                <c:pt idx="23">
                  <c:v>175067.06242934265</c:v>
                </c:pt>
                <c:pt idx="24">
                  <c:v>185789.22276229592</c:v>
                </c:pt>
              </c:numCache>
            </c:numRef>
          </c:val>
          <c:extLst>
            <c:ext xmlns:c16="http://schemas.microsoft.com/office/drawing/2014/chart" uri="{C3380CC4-5D6E-409C-BE32-E72D297353CC}">
              <c16:uniqueId val="{00000000-6A97-1F47-91EC-E32DA55195C8}"/>
            </c:ext>
          </c:extLst>
        </c:ser>
        <c:dLbls>
          <c:dLblPos val="ctr"/>
          <c:showLegendKey val="0"/>
          <c:showVal val="1"/>
          <c:showCatName val="0"/>
          <c:showSerName val="0"/>
          <c:showPercent val="0"/>
          <c:showBubbleSize val="0"/>
        </c:dLbls>
        <c:gapWidth val="150"/>
        <c:overlap val="100"/>
        <c:axId val="-1968000072"/>
        <c:axId val="-1967997080"/>
      </c:barChart>
      <c:catAx>
        <c:axId val="-1968000072"/>
        <c:scaling>
          <c:orientation val="minMax"/>
        </c:scaling>
        <c:delete val="0"/>
        <c:axPos val="b"/>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400" b="1" i="0" u="none" strike="noStrike" kern="1200" cap="all" baseline="0">
                <a:solidFill>
                  <a:schemeClr val="dk1">
                    <a:lumMod val="75000"/>
                    <a:lumOff val="25000"/>
                  </a:schemeClr>
                </a:solidFill>
                <a:latin typeface="+mn-lt"/>
                <a:ea typeface="+mn-ea"/>
                <a:cs typeface="+mn-cs"/>
              </a:defRPr>
            </a:pPr>
            <a:endParaRPr lang="en-US"/>
          </a:p>
        </c:txPr>
        <c:crossAx val="-1967997080"/>
        <c:crosses val="autoZero"/>
        <c:auto val="1"/>
        <c:lblAlgn val="ctr"/>
        <c:lblOffset val="100"/>
        <c:noMultiLvlLbl val="0"/>
      </c:catAx>
      <c:valAx>
        <c:axId val="-1967997080"/>
        <c:scaling>
          <c:orientation val="minMax"/>
          <c:min val="0"/>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quot;$&quot;#,##0_);\(&quot;$&quot;#,##0\)" sourceLinked="1"/>
        <c:majorTickMark val="out"/>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crossAx val="-1968000072"/>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Utility Purchases &amp; Solar Purchases (kWh)</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lineChart>
        <c:grouping val="standard"/>
        <c:varyColors val="0"/>
        <c:ser>
          <c:idx val="0"/>
          <c:order val="0"/>
          <c:tx>
            <c:strRef>
              <c:f>'Customer Analysis'!$B$94</c:f>
              <c:strCache>
                <c:ptCount val="1"/>
                <c:pt idx="0">
                  <c:v>Utility Purchases</c:v>
                </c:pt>
              </c:strCache>
            </c:strRef>
          </c:tx>
          <c:spPr>
            <a:ln w="31750" cap="rnd">
              <a:solidFill>
                <a:schemeClr val="accent1"/>
              </a:solidFill>
              <a:round/>
            </a:ln>
            <a:effectLst/>
          </c:spPr>
          <c:marker>
            <c:symbol val="none"/>
          </c:marker>
          <c:dLbls>
            <c:delete val="1"/>
          </c:dLbls>
          <c:val>
            <c:numRef>
              <c:f>'Customer Analysis'!$D$94:$AB$94</c:f>
              <c:numCache>
                <c:formatCode>#,##0.0_);\(#,##0.0\)</c:formatCode>
                <c:ptCount val="25"/>
                <c:pt idx="0">
                  <c:v>10446505</c:v>
                </c:pt>
                <c:pt idx="1">
                  <c:v>10454092.475</c:v>
                </c:pt>
                <c:pt idx="2">
                  <c:v>10461642.012625</c:v>
                </c:pt>
                <c:pt idx="3">
                  <c:v>10469153.802561875</c:v>
                </c:pt>
                <c:pt idx="4">
                  <c:v>10476628.033549067</c:v>
                </c:pt>
                <c:pt idx="5">
                  <c:v>10484064.89338132</c:v>
                </c:pt>
                <c:pt idx="6">
                  <c:v>10491464.568914413</c:v>
                </c:pt>
                <c:pt idx="7">
                  <c:v>10498827.246069841</c:v>
                </c:pt>
                <c:pt idx="8">
                  <c:v>10506153.109839493</c:v>
                </c:pt>
                <c:pt idx="9">
                  <c:v>10513442.344290296</c:v>
                </c:pt>
                <c:pt idx="10">
                  <c:v>10520695.132568844</c:v>
                </c:pt>
                <c:pt idx="11">
                  <c:v>10527911.656905999</c:v>
                </c:pt>
                <c:pt idx="12">
                  <c:v>10535092.098621469</c:v>
                </c:pt>
                <c:pt idx="13">
                  <c:v>10542236.638128363</c:v>
                </c:pt>
                <c:pt idx="14">
                  <c:v>10549345.454937721</c:v>
                </c:pt>
                <c:pt idx="15">
                  <c:v>10556418.727663033</c:v>
                </c:pt>
                <c:pt idx="16">
                  <c:v>10563456.634024717</c:v>
                </c:pt>
                <c:pt idx="17">
                  <c:v>10570459.350854592</c:v>
                </c:pt>
                <c:pt idx="18">
                  <c:v>10577427.05410032</c:v>
                </c:pt>
                <c:pt idx="19">
                  <c:v>10584359.918829819</c:v>
                </c:pt>
                <c:pt idx="20">
                  <c:v>10591258.11923567</c:v>
                </c:pt>
                <c:pt idx="21">
                  <c:v>10598121.828639492</c:v>
                </c:pt>
                <c:pt idx="22">
                  <c:v>10604951.219496295</c:v>
                </c:pt>
                <c:pt idx="23">
                  <c:v>10611746.463398812</c:v>
                </c:pt>
                <c:pt idx="24">
                  <c:v>10618507.731081819</c:v>
                </c:pt>
              </c:numCache>
            </c:numRef>
          </c:val>
          <c:smooth val="0"/>
          <c:extLst>
            <c:ext xmlns:c16="http://schemas.microsoft.com/office/drawing/2014/chart" uri="{C3380CC4-5D6E-409C-BE32-E72D297353CC}">
              <c16:uniqueId val="{00000000-59A0-AE41-A6E8-C95419CDB28A}"/>
            </c:ext>
          </c:extLst>
        </c:ser>
        <c:ser>
          <c:idx val="1"/>
          <c:order val="1"/>
          <c:tx>
            <c:strRef>
              <c:f>'Customer Analysis'!$B$95</c:f>
              <c:strCache>
                <c:ptCount val="1"/>
                <c:pt idx="0">
                  <c:v>Solar Purchases</c:v>
                </c:pt>
              </c:strCache>
            </c:strRef>
          </c:tx>
          <c:spPr>
            <a:ln w="31750" cap="rnd">
              <a:solidFill>
                <a:schemeClr val="accent2"/>
              </a:solidFill>
              <a:round/>
            </a:ln>
            <a:effectLst/>
          </c:spPr>
          <c:marker>
            <c:symbol val="none"/>
          </c:marker>
          <c:dLbls>
            <c:delete val="1"/>
          </c:dLbls>
          <c:val>
            <c:numRef>
              <c:f>'Customer Analysis'!$D$95:$AB$95</c:f>
              <c:numCache>
                <c:formatCode>#,##0.0_);\(#,##0.0\)</c:formatCode>
                <c:ptCount val="25"/>
                <c:pt idx="0">
                  <c:v>1517495</c:v>
                </c:pt>
                <c:pt idx="1">
                  <c:v>1509907.5249999999</c:v>
                </c:pt>
                <c:pt idx="2">
                  <c:v>1502357.9873749998</c:v>
                </c:pt>
                <c:pt idx="3">
                  <c:v>1494846.1974381248</c:v>
                </c:pt>
                <c:pt idx="4">
                  <c:v>1487371.9664509341</c:v>
                </c:pt>
                <c:pt idx="5">
                  <c:v>1479935.1066186794</c:v>
                </c:pt>
                <c:pt idx="6">
                  <c:v>1472535.4310855858</c:v>
                </c:pt>
                <c:pt idx="7">
                  <c:v>1465172.753930158</c:v>
                </c:pt>
                <c:pt idx="8">
                  <c:v>1457846.8901605073</c:v>
                </c:pt>
                <c:pt idx="9">
                  <c:v>1450557.6557097048</c:v>
                </c:pt>
                <c:pt idx="10">
                  <c:v>1443304.8674311563</c:v>
                </c:pt>
                <c:pt idx="11">
                  <c:v>1436088.3430940006</c:v>
                </c:pt>
                <c:pt idx="12">
                  <c:v>1428907.9013785305</c:v>
                </c:pt>
                <c:pt idx="13">
                  <c:v>1421763.3618716379</c:v>
                </c:pt>
                <c:pt idx="14">
                  <c:v>1414654.5450622796</c:v>
                </c:pt>
                <c:pt idx="15">
                  <c:v>1407581.2723369682</c:v>
                </c:pt>
                <c:pt idx="16">
                  <c:v>1400543.3659752833</c:v>
                </c:pt>
                <c:pt idx="17">
                  <c:v>1393540.6491454069</c:v>
                </c:pt>
                <c:pt idx="18">
                  <c:v>1386572.9458996798</c:v>
                </c:pt>
                <c:pt idx="19">
                  <c:v>1379640.0811701813</c:v>
                </c:pt>
                <c:pt idx="20">
                  <c:v>1372741.8807643303</c:v>
                </c:pt>
                <c:pt idx="21">
                  <c:v>1365878.1713605085</c:v>
                </c:pt>
                <c:pt idx="22">
                  <c:v>1359048.7805037061</c:v>
                </c:pt>
                <c:pt idx="23">
                  <c:v>1352253.5366011874</c:v>
                </c:pt>
                <c:pt idx="24">
                  <c:v>1345492.2689181815</c:v>
                </c:pt>
              </c:numCache>
            </c:numRef>
          </c:val>
          <c:smooth val="0"/>
          <c:extLst>
            <c:ext xmlns:c16="http://schemas.microsoft.com/office/drawing/2014/chart" uri="{C3380CC4-5D6E-409C-BE32-E72D297353CC}">
              <c16:uniqueId val="{00000001-59A0-AE41-A6E8-C95419CDB28A}"/>
            </c:ext>
          </c:extLst>
        </c:ser>
        <c:dLbls>
          <c:dLblPos val="ctr"/>
          <c:showLegendKey val="0"/>
          <c:showVal val="1"/>
          <c:showCatName val="0"/>
          <c:showSerName val="0"/>
          <c:showPercent val="0"/>
          <c:showBubbleSize val="0"/>
        </c:dLbls>
        <c:smooth val="0"/>
        <c:axId val="-1952524552"/>
        <c:axId val="-1952521576"/>
      </c:lineChart>
      <c:catAx>
        <c:axId val="-1952524552"/>
        <c:scaling>
          <c:orientation val="minMax"/>
        </c:scaling>
        <c:delete val="0"/>
        <c:axPos val="b"/>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400" b="1" i="0" u="none" strike="noStrike" kern="1200" cap="all" baseline="0">
                <a:solidFill>
                  <a:schemeClr val="dk1">
                    <a:lumMod val="75000"/>
                    <a:lumOff val="25000"/>
                  </a:schemeClr>
                </a:solidFill>
                <a:latin typeface="+mn-lt"/>
                <a:ea typeface="+mn-ea"/>
                <a:cs typeface="+mn-cs"/>
              </a:defRPr>
            </a:pPr>
            <a:endParaRPr lang="en-US"/>
          </a:p>
        </c:txPr>
        <c:crossAx val="-1952521576"/>
        <c:crosses val="autoZero"/>
        <c:auto val="1"/>
        <c:lblAlgn val="ctr"/>
        <c:lblOffset val="100"/>
        <c:noMultiLvlLbl val="0"/>
      </c:catAx>
      <c:valAx>
        <c:axId val="-1952521576"/>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_);\(#,##0.0\)" sourceLinked="1"/>
        <c:majorTickMark val="out"/>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crossAx val="-1952524552"/>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Solar Fraction - 1st Year</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explosion val="25"/>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B746-804B-9A0D-0B6373F2808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0-7409-3E44-83C4-3EE5B2427798}"/>
              </c:ext>
            </c:extLst>
          </c:dPt>
          <c:dLbls>
            <c:dLbl>
              <c:idx val="1"/>
              <c:layout>
                <c:manualLayout>
                  <c:x val="2.1031797254851291E-2"/>
                  <c:y val="8.2867191601049842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7409-3E44-83C4-3EE5B2427798}"/>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0"/>
            <c:extLst>
              <c:ext xmlns:c15="http://schemas.microsoft.com/office/drawing/2012/chart" uri="{CE6537A1-D6FC-4f65-9D91-7224C49458BB}"/>
            </c:extLst>
          </c:dLbls>
          <c:cat>
            <c:strRef>
              <c:f>'Customer Analysis'!$B$94:$B$95</c:f>
              <c:strCache>
                <c:ptCount val="2"/>
                <c:pt idx="0">
                  <c:v>Utility Purchases</c:v>
                </c:pt>
                <c:pt idx="1">
                  <c:v>Solar Purchases</c:v>
                </c:pt>
              </c:strCache>
            </c:strRef>
          </c:cat>
          <c:val>
            <c:numRef>
              <c:f>'Customer Analysis'!$D$94:$D$95</c:f>
              <c:numCache>
                <c:formatCode>#,##0.0_);\(#,##0.0\)</c:formatCode>
                <c:ptCount val="2"/>
                <c:pt idx="0">
                  <c:v>10446505</c:v>
                </c:pt>
                <c:pt idx="1">
                  <c:v>1517495</c:v>
                </c:pt>
              </c:numCache>
            </c:numRef>
          </c:val>
          <c:extLst>
            <c:ext xmlns:c16="http://schemas.microsoft.com/office/drawing/2014/chart" uri="{C3380CC4-5D6E-409C-BE32-E72D297353CC}">
              <c16:uniqueId val="{00000000-0A98-924B-AB78-B16BE6768B48}"/>
            </c:ext>
          </c:extLst>
        </c:ser>
        <c:dLbls>
          <c:dLblPos val="ctr"/>
          <c:showLegendKey val="0"/>
          <c:showVal val="0"/>
          <c:showCatName val="1"/>
          <c:showSerName val="0"/>
          <c:showPercent val="1"/>
          <c:showBubbleSize val="0"/>
          <c:showLeaderLines val="0"/>
        </c:dLbls>
      </c:pie3DChart>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Source of Investor Return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view3D>
      <c:rotX val="50"/>
      <c:rotY val="271"/>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explosion val="25"/>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B8CB-2C46-B888-709A591BC875}"/>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2-25FB-2645-8D86-8B77F015A2F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25FB-2645-8D86-8B77F015A2F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0-25FB-2645-8D86-8B77F015A2F4}"/>
              </c:ext>
            </c:extLst>
          </c:dPt>
          <c:dLbls>
            <c:dLbl>
              <c:idx val="1"/>
              <c:layout>
                <c:manualLayout>
                  <c:x val="-1.6883190319342951E-2"/>
                  <c:y val="-2.9444394329146906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5FB-2645-8D86-8B77F015A2F4}"/>
                </c:ext>
              </c:extLst>
            </c:dLbl>
            <c:dLbl>
              <c:idx val="2"/>
              <c:layout>
                <c:manualLayout>
                  <c:x val="0.13500627638936433"/>
                  <c:y val="-7.769373285352905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5FB-2645-8D86-8B77F015A2F4}"/>
                </c:ext>
              </c:extLst>
            </c:dLbl>
            <c:dLbl>
              <c:idx val="3"/>
              <c:layout>
                <c:manualLayout>
                  <c:x val="7.452099737532808E-2"/>
                  <c:y val="-0.20342501870524107"/>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5FB-2645-8D86-8B77F015A2F4}"/>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Unstructured!$C$137:$C$140</c:f>
              <c:strCache>
                <c:ptCount val="4"/>
                <c:pt idx="0">
                  <c:v>Cash</c:v>
                </c:pt>
                <c:pt idx="1">
                  <c:v>Federal ITC</c:v>
                </c:pt>
                <c:pt idx="2">
                  <c:v>Net Fed. Dep.</c:v>
                </c:pt>
                <c:pt idx="3">
                  <c:v>Net State Dep.</c:v>
                </c:pt>
              </c:strCache>
            </c:strRef>
          </c:cat>
          <c:val>
            <c:numRef>
              <c:f>Unstructured!$D$137:$D$140</c:f>
              <c:numCache>
                <c:formatCode>0.00%</c:formatCode>
                <c:ptCount val="4"/>
                <c:pt idx="0">
                  <c:v>1</c:v>
                </c:pt>
                <c:pt idx="1">
                  <c:v>0</c:v>
                </c:pt>
                <c:pt idx="2">
                  <c:v>0</c:v>
                </c:pt>
                <c:pt idx="3">
                  <c:v>0</c:v>
                </c:pt>
              </c:numCache>
            </c:numRef>
          </c:val>
          <c:extLst>
            <c:ext xmlns:c16="http://schemas.microsoft.com/office/drawing/2014/chart" uri="{C3380CC4-5D6E-409C-BE32-E72D297353CC}">
              <c16:uniqueId val="{00000001-732C-BF48-B371-0DBA2837696D}"/>
            </c:ext>
          </c:extLst>
        </c:ser>
        <c:dLbls>
          <c:dLblPos val="ctr"/>
          <c:showLegendKey val="0"/>
          <c:showVal val="0"/>
          <c:showCatName val="1"/>
          <c:showSerName val="0"/>
          <c:showPercent val="1"/>
          <c:showBubbleSize val="0"/>
          <c:showLeaderLines val="1"/>
        </c:dLbls>
      </c:pie3DChart>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Operating Cash vs. Debt Payments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lineChart>
        <c:grouping val="standard"/>
        <c:varyColors val="0"/>
        <c:ser>
          <c:idx val="0"/>
          <c:order val="0"/>
          <c:tx>
            <c:strRef>
              <c:f>Unstructured!$C$159</c:f>
              <c:strCache>
                <c:ptCount val="1"/>
                <c:pt idx="0">
                  <c:v>Operating Cash</c:v>
                </c:pt>
              </c:strCache>
            </c:strRef>
          </c:tx>
          <c:spPr>
            <a:ln w="31750" cap="rnd">
              <a:solidFill>
                <a:schemeClr val="accent1"/>
              </a:solidFill>
              <a:round/>
            </a:ln>
            <a:effectLst/>
          </c:spPr>
          <c:marker>
            <c:symbol val="none"/>
          </c:marker>
          <c:dLbls>
            <c:delete val="1"/>
          </c:dLbls>
          <c:val>
            <c:numRef>
              <c:f>Unstructured!$D$159:$AB$159</c:f>
              <c:numCache>
                <c:formatCode>"$"#,##0_);\("$"#,##0\)</c:formatCode>
                <c:ptCount val="25"/>
                <c:pt idx="0">
                  <c:v>471259.35</c:v>
                </c:pt>
                <c:pt idx="1">
                  <c:v>474327.67770624999</c:v>
                </c:pt>
                <c:pt idx="2">
                  <c:v>169367.61936316162</c:v>
                </c:pt>
                <c:pt idx="3">
                  <c:v>172550.19094644196</c:v>
                </c:pt>
                <c:pt idx="4">
                  <c:v>175791.42589365091</c:v>
                </c:pt>
                <c:pt idx="5">
                  <c:v>179092.37538298932</c:v>
                </c:pt>
                <c:pt idx="6">
                  <c:v>182454.10861592091</c:v>
                </c:pt>
                <c:pt idx="7">
                  <c:v>185877.7131036619</c:v>
                </c:pt>
                <c:pt idx="8">
                  <c:v>189364.29495757178</c:v>
                </c:pt>
                <c:pt idx="9">
                  <c:v>192914.97918347741</c:v>
                </c:pt>
                <c:pt idx="10">
                  <c:v>196530.9099799635</c:v>
                </c:pt>
                <c:pt idx="11">
                  <c:v>200213.25104066017</c:v>
                </c:pt>
                <c:pt idx="12">
                  <c:v>203963.18586055923</c:v>
                </c:pt>
                <c:pt idx="13">
                  <c:v>207781.91804639049</c:v>
                </c:pt>
                <c:pt idx="14">
                  <c:v>211670.67163108644</c:v>
                </c:pt>
                <c:pt idx="15">
                  <c:v>215630.69139236637</c:v>
                </c:pt>
                <c:pt idx="16">
                  <c:v>219663.24317546695</c:v>
                </c:pt>
                <c:pt idx="17">
                  <c:v>223769.61422004871</c:v>
                </c:pt>
                <c:pt idx="18">
                  <c:v>227951.11349130314</c:v>
                </c:pt>
                <c:pt idx="19">
                  <c:v>232209.07201528954</c:v>
                </c:pt>
                <c:pt idx="20">
                  <c:v>236544.84321852389</c:v>
                </c:pt>
                <c:pt idx="21">
                  <c:v>240959.8032718458</c:v>
                </c:pt>
                <c:pt idx="22">
                  <c:v>245455.35143858631</c:v>
                </c:pt>
                <c:pt idx="23">
                  <c:v>250032.91042705858</c:v>
                </c:pt>
                <c:pt idx="24">
                  <c:v>621357.67674739251</c:v>
                </c:pt>
              </c:numCache>
            </c:numRef>
          </c:val>
          <c:smooth val="0"/>
          <c:extLst>
            <c:ext xmlns:c16="http://schemas.microsoft.com/office/drawing/2014/chart" uri="{C3380CC4-5D6E-409C-BE32-E72D297353CC}">
              <c16:uniqueId val="{00000000-EA05-EA48-8DFA-4424D63DB35B}"/>
            </c:ext>
          </c:extLst>
        </c:ser>
        <c:ser>
          <c:idx val="1"/>
          <c:order val="1"/>
          <c:tx>
            <c:strRef>
              <c:f>Unstructured!$C$160</c:f>
              <c:strCache>
                <c:ptCount val="1"/>
                <c:pt idx="0">
                  <c:v>Debt Interest</c:v>
                </c:pt>
              </c:strCache>
            </c:strRef>
          </c:tx>
          <c:spPr>
            <a:ln w="31750" cap="rnd">
              <a:solidFill>
                <a:schemeClr val="accent2"/>
              </a:solidFill>
              <a:round/>
            </a:ln>
            <a:effectLst/>
          </c:spPr>
          <c:marker>
            <c:symbol val="none"/>
          </c:marker>
          <c:dLbls>
            <c:delete val="1"/>
          </c:dLbls>
          <c:val>
            <c:numRef>
              <c:f>Unstructured!$D$160:$AB$160</c:f>
              <c:numCache>
                <c:formatCode>"$"#,##0_);\("$"#,##0\)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1-EA05-EA48-8DFA-4424D63DB35B}"/>
            </c:ext>
          </c:extLst>
        </c:ser>
        <c:ser>
          <c:idx val="2"/>
          <c:order val="2"/>
          <c:tx>
            <c:strRef>
              <c:f>Unstructured!$C$161</c:f>
              <c:strCache>
                <c:ptCount val="1"/>
                <c:pt idx="0">
                  <c:v>Debt Principle</c:v>
                </c:pt>
              </c:strCache>
            </c:strRef>
          </c:tx>
          <c:spPr>
            <a:ln w="31750" cap="rnd">
              <a:solidFill>
                <a:schemeClr val="accent3"/>
              </a:solidFill>
              <a:round/>
            </a:ln>
            <a:effectLst/>
          </c:spPr>
          <c:marker>
            <c:symbol val="none"/>
          </c:marker>
          <c:dLbls>
            <c:delete val="1"/>
          </c:dLbls>
          <c:val>
            <c:numRef>
              <c:f>Unstructured!$D$161:$AB$161</c:f>
              <c:numCache>
                <c:formatCode>"$"#,##0_);\("$"#,##0\)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2-EA05-EA48-8DFA-4424D63DB35B}"/>
            </c:ext>
          </c:extLst>
        </c:ser>
        <c:dLbls>
          <c:dLblPos val="ctr"/>
          <c:showLegendKey val="0"/>
          <c:showVal val="1"/>
          <c:showCatName val="0"/>
          <c:showSerName val="0"/>
          <c:showPercent val="0"/>
          <c:showBubbleSize val="0"/>
        </c:dLbls>
        <c:smooth val="0"/>
        <c:axId val="-1951589416"/>
        <c:axId val="-1951586440"/>
      </c:lineChart>
      <c:catAx>
        <c:axId val="-1951589416"/>
        <c:scaling>
          <c:orientation val="minMax"/>
        </c:scaling>
        <c:delete val="0"/>
        <c:axPos val="b"/>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400" b="1" i="0" u="none" strike="noStrike" kern="1200" cap="all" baseline="0">
                <a:solidFill>
                  <a:schemeClr val="dk1">
                    <a:lumMod val="75000"/>
                    <a:lumOff val="25000"/>
                  </a:schemeClr>
                </a:solidFill>
                <a:latin typeface="+mn-lt"/>
                <a:ea typeface="+mn-ea"/>
                <a:cs typeface="+mn-cs"/>
              </a:defRPr>
            </a:pPr>
            <a:endParaRPr lang="en-US"/>
          </a:p>
        </c:txPr>
        <c:crossAx val="-1951586440"/>
        <c:crosses val="autoZero"/>
        <c:auto val="1"/>
        <c:lblAlgn val="ctr"/>
        <c:lblOffset val="100"/>
        <c:noMultiLvlLbl val="0"/>
      </c:catAx>
      <c:valAx>
        <c:axId val="-1951586440"/>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quot;$&quot;#,##0_);\(&quot;$&quot;#,##0\)"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crossAx val="-1951589416"/>
        <c:crosses val="autoZero"/>
        <c:crossBetween val="between"/>
      </c:valAx>
      <c:spPr>
        <a:noFill/>
        <a:ln>
          <a:noFill/>
        </a:ln>
        <a:effectLst/>
      </c:spPr>
    </c:plotArea>
    <c:legend>
      <c:legendPos val="b"/>
      <c:layout>
        <c:manualLayout>
          <c:xMode val="edge"/>
          <c:yMode val="edge"/>
          <c:x val="0.4200279532680683"/>
          <c:y val="0.55137661817696515"/>
          <c:w val="0.44047139713857159"/>
          <c:h val="9.7114306686240492E-2"/>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Cash &amp; Tax Investor Returns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lineChart>
        <c:grouping val="standard"/>
        <c:varyColors val="0"/>
        <c:ser>
          <c:idx val="0"/>
          <c:order val="0"/>
          <c:tx>
            <c:strRef>
              <c:f>'Partnership Flip'!$B$97</c:f>
              <c:strCache>
                <c:ptCount val="1"/>
                <c:pt idx="0">
                  <c:v>Tax Equity Partner</c:v>
                </c:pt>
              </c:strCache>
            </c:strRef>
          </c:tx>
          <c:spPr>
            <a:ln w="31750" cap="rnd">
              <a:solidFill>
                <a:schemeClr val="accent1"/>
              </a:solidFill>
              <a:round/>
            </a:ln>
            <a:effectLst/>
          </c:spPr>
          <c:marker>
            <c:symbol val="none"/>
          </c:marker>
          <c:dLbls>
            <c:delete val="1"/>
          </c:dLbls>
          <c:cat>
            <c:numRef>
              <c:f>'Partnership Flip'!$C$96:$AB$96</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cat>
          <c:val>
            <c:numRef>
              <c:f>'Partnership Flip'!$C$97:$AB$97</c:f>
              <c:numCache>
                <c:formatCode>_-"$"* #,##0_-;\-"$"* #,##0_-;_-"$"* "-"_-;_-@_-</c:formatCode>
                <c:ptCount val="26"/>
                <c:pt idx="0">
                  <c:v>-1050000</c:v>
                </c:pt>
                <c:pt idx="1">
                  <c:v>31726.974000000009</c:v>
                </c:pt>
                <c:pt idx="2">
                  <c:v>31849.707108250004</c:v>
                </c:pt>
                <c:pt idx="3">
                  <c:v>31974.704774526461</c:v>
                </c:pt>
                <c:pt idx="4">
                  <c:v>32102.007637857692</c:v>
                </c:pt>
                <c:pt idx="5">
                  <c:v>32231.657035746051</c:v>
                </c:pt>
                <c:pt idx="6">
                  <c:v>8954.618769149467</c:v>
                </c:pt>
                <c:pt idx="7">
                  <c:v>9122.7054307960461</c:v>
                </c:pt>
                <c:pt idx="8">
                  <c:v>9293.8856551830959</c:v>
                </c:pt>
                <c:pt idx="9">
                  <c:v>9468.2147478785901</c:v>
                </c:pt>
                <c:pt idx="10">
                  <c:v>9645.7489591738704</c:v>
                </c:pt>
                <c:pt idx="11">
                  <c:v>9826.5454989981754</c:v>
                </c:pt>
                <c:pt idx="12">
                  <c:v>10010.662552033009</c:v>
                </c:pt>
                <c:pt idx="13">
                  <c:v>10198.159293027962</c:v>
                </c:pt>
                <c:pt idx="14">
                  <c:v>10389.095902319525</c:v>
                </c:pt>
                <c:pt idx="15">
                  <c:v>10583.533581554322</c:v>
                </c:pt>
                <c:pt idx="16">
                  <c:v>10781.534569618319</c:v>
                </c:pt>
                <c:pt idx="17">
                  <c:v>10983.162158773348</c:v>
                </c:pt>
                <c:pt idx="18">
                  <c:v>11188.480711002436</c:v>
                </c:pt>
                <c:pt idx="19">
                  <c:v>11397.555674565157</c:v>
                </c:pt>
                <c:pt idx="20">
                  <c:v>11610.453600764478</c:v>
                </c:pt>
                <c:pt idx="21">
                  <c:v>11827.242160926195</c:v>
                </c:pt>
                <c:pt idx="22">
                  <c:v>12047.990163592291</c:v>
                </c:pt>
                <c:pt idx="23">
                  <c:v>12272.767571929317</c:v>
                </c:pt>
                <c:pt idx="24">
                  <c:v>12501.64552135293</c:v>
                </c:pt>
                <c:pt idx="25">
                  <c:v>31067.883837369627</c:v>
                </c:pt>
              </c:numCache>
            </c:numRef>
          </c:val>
          <c:smooth val="0"/>
          <c:extLst>
            <c:ext xmlns:c16="http://schemas.microsoft.com/office/drawing/2014/chart" uri="{C3380CC4-5D6E-409C-BE32-E72D297353CC}">
              <c16:uniqueId val="{00000000-542F-9E42-88B5-8DA867A34D01}"/>
            </c:ext>
          </c:extLst>
        </c:ser>
        <c:ser>
          <c:idx val="1"/>
          <c:order val="1"/>
          <c:tx>
            <c:strRef>
              <c:f>'Partnership Flip'!$B$98</c:f>
              <c:strCache>
                <c:ptCount val="1"/>
                <c:pt idx="0">
                  <c:v>Developer/Sponsor</c:v>
                </c:pt>
              </c:strCache>
            </c:strRef>
          </c:tx>
          <c:spPr>
            <a:ln w="31750" cap="rnd">
              <a:solidFill>
                <a:schemeClr val="accent2"/>
              </a:solidFill>
              <a:round/>
            </a:ln>
            <a:effectLst/>
          </c:spPr>
          <c:marker>
            <c:symbol val="none"/>
          </c:marker>
          <c:dLbls>
            <c:delete val="1"/>
          </c:dLbls>
          <c:cat>
            <c:numRef>
              <c:f>'Partnership Flip'!$C$96:$AB$96</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cat>
          <c:val>
            <c:numRef>
              <c:f>'Partnership Flip'!$C$98:$AB$98</c:f>
              <c:numCache>
                <c:formatCode>_-"$"* #,##0_-;\-"$"* #,##0_-;_-"$"* "-"_-;_-@_-</c:formatCode>
                <c:ptCount val="26"/>
                <c:pt idx="0">
                  <c:v>-1450000.0000000002</c:v>
                </c:pt>
                <c:pt idx="1">
                  <c:v>131447.37599999999</c:v>
                </c:pt>
                <c:pt idx="2">
                  <c:v>134392.97059799996</c:v>
                </c:pt>
                <c:pt idx="3">
                  <c:v>137392.91458863515</c:v>
                </c:pt>
                <c:pt idx="4">
                  <c:v>140448.18330858427</c:v>
                </c:pt>
                <c:pt idx="5">
                  <c:v>143559.76885790486</c:v>
                </c:pt>
                <c:pt idx="6">
                  <c:v>170137.75661383985</c:v>
                </c:pt>
                <c:pt idx="7">
                  <c:v>173331.40318512486</c:v>
                </c:pt>
                <c:pt idx="8">
                  <c:v>176583.82744847881</c:v>
                </c:pt>
                <c:pt idx="9">
                  <c:v>179896.0802096932</c:v>
                </c:pt>
                <c:pt idx="10">
                  <c:v>183269.23022430355</c:v>
                </c:pt>
                <c:pt idx="11">
                  <c:v>186704.36448096533</c:v>
                </c:pt>
                <c:pt idx="12">
                  <c:v>190202.58848862717</c:v>
                </c:pt>
                <c:pt idx="13">
                  <c:v>193765.02656753125</c:v>
                </c:pt>
                <c:pt idx="14">
                  <c:v>197392.82214407096</c:v>
                </c:pt>
                <c:pt idx="15">
                  <c:v>201087.13804953214</c:v>
                </c:pt>
                <c:pt idx="16">
                  <c:v>204849.15682274805</c:v>
                </c:pt>
                <c:pt idx="17">
                  <c:v>208680.08101669361</c:v>
                </c:pt>
                <c:pt idx="18">
                  <c:v>212581.13350904628</c:v>
                </c:pt>
                <c:pt idx="19">
                  <c:v>216553.55781673797</c:v>
                </c:pt>
                <c:pt idx="20">
                  <c:v>220598.61841452506</c:v>
                </c:pt>
                <c:pt idx="21">
                  <c:v>224717.6010575977</c:v>
                </c:pt>
                <c:pt idx="22">
                  <c:v>228911.8131082535</c:v>
                </c:pt>
                <c:pt idx="23">
                  <c:v>233182.58386665699</c:v>
                </c:pt>
                <c:pt idx="24">
                  <c:v>237531.26490570564</c:v>
                </c:pt>
                <c:pt idx="25">
                  <c:v>590289.79291002289</c:v>
                </c:pt>
              </c:numCache>
            </c:numRef>
          </c:val>
          <c:smooth val="0"/>
          <c:extLst>
            <c:ext xmlns:c16="http://schemas.microsoft.com/office/drawing/2014/chart" uri="{C3380CC4-5D6E-409C-BE32-E72D297353CC}">
              <c16:uniqueId val="{00000001-542F-9E42-88B5-8DA867A34D01}"/>
            </c:ext>
          </c:extLst>
        </c:ser>
        <c:dLbls>
          <c:dLblPos val="ctr"/>
          <c:showLegendKey val="0"/>
          <c:showVal val="1"/>
          <c:showCatName val="0"/>
          <c:showSerName val="0"/>
          <c:showPercent val="0"/>
          <c:showBubbleSize val="0"/>
        </c:dLbls>
        <c:smooth val="0"/>
        <c:axId val="-1953514200"/>
        <c:axId val="-1951675064"/>
      </c:lineChart>
      <c:catAx>
        <c:axId val="-195351420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400" b="1" i="0" u="none" strike="noStrike" kern="1200" cap="all" baseline="0">
                <a:solidFill>
                  <a:schemeClr val="dk1">
                    <a:lumMod val="75000"/>
                    <a:lumOff val="25000"/>
                  </a:schemeClr>
                </a:solidFill>
                <a:latin typeface="+mn-lt"/>
                <a:ea typeface="+mn-ea"/>
                <a:cs typeface="+mn-cs"/>
              </a:defRPr>
            </a:pPr>
            <a:endParaRPr lang="en-US"/>
          </a:p>
        </c:txPr>
        <c:crossAx val="-1951675064"/>
        <c:crosses val="autoZero"/>
        <c:auto val="1"/>
        <c:lblAlgn val="ctr"/>
        <c:lblOffset val="100"/>
        <c:noMultiLvlLbl val="0"/>
      </c:catAx>
      <c:valAx>
        <c:axId val="-1951675064"/>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_-&quot;$&quot;* #,##0_-;\-&quot;$&quot;* #,##0_-;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crossAx val="-1953514200"/>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16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Cumulative Cash &amp; Tax Investor Returns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lineChart>
        <c:grouping val="standard"/>
        <c:varyColors val="0"/>
        <c:ser>
          <c:idx val="0"/>
          <c:order val="0"/>
          <c:tx>
            <c:strRef>
              <c:f>'Partnership Flip'!$B$88</c:f>
              <c:strCache>
                <c:ptCount val="1"/>
                <c:pt idx="0">
                  <c:v>Tax Equity Partner</c:v>
                </c:pt>
              </c:strCache>
            </c:strRef>
          </c:tx>
          <c:spPr>
            <a:ln w="31750" cap="rnd">
              <a:solidFill>
                <a:schemeClr val="accent1"/>
              </a:solidFill>
              <a:round/>
            </a:ln>
            <a:effectLst/>
          </c:spPr>
          <c:marker>
            <c:symbol val="none"/>
          </c:marker>
          <c:dLbls>
            <c:delete val="1"/>
          </c:dLbls>
          <c:cat>
            <c:numRef>
              <c:f>'Partnership Flip'!$C$87:$AB$87</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cat>
          <c:val>
            <c:numRef>
              <c:f>'Partnership Flip'!$C$88:$AB$88</c:f>
              <c:numCache>
                <c:formatCode>"$"#,##0_);\("$"#,##0\)</c:formatCode>
                <c:ptCount val="26"/>
                <c:pt idx="0">
                  <c:v>-1050000</c:v>
                </c:pt>
                <c:pt idx="1">
                  <c:v>-1018273.026</c:v>
                </c:pt>
                <c:pt idx="2">
                  <c:v>-986423.31889174995</c:v>
                </c:pt>
                <c:pt idx="3">
                  <c:v>-954448.61411722354</c:v>
                </c:pt>
                <c:pt idx="4">
                  <c:v>-922346.60647936584</c:v>
                </c:pt>
                <c:pt idx="5">
                  <c:v>-890114.94944361981</c:v>
                </c:pt>
                <c:pt idx="6">
                  <c:v>-881160.3306744704</c:v>
                </c:pt>
                <c:pt idx="7">
                  <c:v>-872037.62524367438</c:v>
                </c:pt>
                <c:pt idx="8">
                  <c:v>-862743.73958849127</c:v>
                </c:pt>
                <c:pt idx="9">
                  <c:v>-853275.52484061266</c:v>
                </c:pt>
                <c:pt idx="10">
                  <c:v>-843629.77588143875</c:v>
                </c:pt>
                <c:pt idx="11">
                  <c:v>-833803.23038244061</c:v>
                </c:pt>
                <c:pt idx="12">
                  <c:v>-823792.56783040764</c:v>
                </c:pt>
                <c:pt idx="13">
                  <c:v>-813594.4085373797</c:v>
                </c:pt>
                <c:pt idx="14">
                  <c:v>-803205.31263506017</c:v>
                </c:pt>
                <c:pt idx="15">
                  <c:v>-792621.77905350586</c:v>
                </c:pt>
                <c:pt idx="16">
                  <c:v>-781840.24448388757</c:v>
                </c:pt>
                <c:pt idx="17">
                  <c:v>-770857.08232511417</c:v>
                </c:pt>
                <c:pt idx="18">
                  <c:v>-759668.60161411169</c:v>
                </c:pt>
                <c:pt idx="19">
                  <c:v>-748271.04593954654</c:v>
                </c:pt>
                <c:pt idx="20">
                  <c:v>-736660.59233878204</c:v>
                </c:pt>
                <c:pt idx="21">
                  <c:v>-724833.35017785581</c:v>
                </c:pt>
                <c:pt idx="22">
                  <c:v>-712785.36001426354</c:v>
                </c:pt>
                <c:pt idx="23">
                  <c:v>-700512.59244233428</c:v>
                </c:pt>
                <c:pt idx="24">
                  <c:v>-688010.9469209814</c:v>
                </c:pt>
                <c:pt idx="25">
                  <c:v>-656943.06308361178</c:v>
                </c:pt>
              </c:numCache>
            </c:numRef>
          </c:val>
          <c:smooth val="0"/>
          <c:extLst>
            <c:ext xmlns:c16="http://schemas.microsoft.com/office/drawing/2014/chart" uri="{C3380CC4-5D6E-409C-BE32-E72D297353CC}">
              <c16:uniqueId val="{00000000-4595-BB4F-9E2E-956E91105F12}"/>
            </c:ext>
          </c:extLst>
        </c:ser>
        <c:ser>
          <c:idx val="1"/>
          <c:order val="1"/>
          <c:tx>
            <c:strRef>
              <c:f>'Partnership Flip'!$B$89</c:f>
              <c:strCache>
                <c:ptCount val="1"/>
                <c:pt idx="0">
                  <c:v>Developer/Sponsor</c:v>
                </c:pt>
              </c:strCache>
            </c:strRef>
          </c:tx>
          <c:spPr>
            <a:ln w="31750" cap="rnd">
              <a:solidFill>
                <a:schemeClr val="accent2"/>
              </a:solidFill>
              <a:round/>
            </a:ln>
            <a:effectLst/>
          </c:spPr>
          <c:marker>
            <c:symbol val="none"/>
          </c:marker>
          <c:dLbls>
            <c:delete val="1"/>
          </c:dLbls>
          <c:cat>
            <c:numRef>
              <c:f>'Partnership Flip'!$C$87:$AB$87</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cat>
          <c:val>
            <c:numRef>
              <c:f>'Partnership Flip'!$C$89:$AB$89</c:f>
              <c:numCache>
                <c:formatCode>"$"#,##0_);\("$"#,##0\)</c:formatCode>
                <c:ptCount val="26"/>
                <c:pt idx="0">
                  <c:v>-1450000.0000000002</c:v>
                </c:pt>
                <c:pt idx="1">
                  <c:v>-1318552.6240000003</c:v>
                </c:pt>
                <c:pt idx="2">
                  <c:v>-1184159.6534020004</c:v>
                </c:pt>
                <c:pt idx="3">
                  <c:v>-1046766.7388133653</c:v>
                </c:pt>
                <c:pt idx="4">
                  <c:v>-906318.55550478108</c:v>
                </c:pt>
                <c:pt idx="5">
                  <c:v>-762758.78664687625</c:v>
                </c:pt>
                <c:pt idx="6">
                  <c:v>-592621.03003303637</c:v>
                </c:pt>
                <c:pt idx="7">
                  <c:v>-419289.62684791151</c:v>
                </c:pt>
                <c:pt idx="8">
                  <c:v>-242705.7993994327</c:v>
                </c:pt>
                <c:pt idx="9">
                  <c:v>-62809.719189739495</c:v>
                </c:pt>
                <c:pt idx="10">
                  <c:v>120459.51103456406</c:v>
                </c:pt>
                <c:pt idx="11">
                  <c:v>307163.87551552942</c:v>
                </c:pt>
                <c:pt idx="12">
                  <c:v>497366.46400415659</c:v>
                </c:pt>
                <c:pt idx="13">
                  <c:v>691131.49057168781</c:v>
                </c:pt>
                <c:pt idx="14">
                  <c:v>888524.3127157588</c:v>
                </c:pt>
                <c:pt idx="15">
                  <c:v>1089611.450765291</c:v>
                </c:pt>
                <c:pt idx="16">
                  <c:v>1294460.607588039</c:v>
                </c:pt>
                <c:pt idx="17">
                  <c:v>1503140.6886047325</c:v>
                </c:pt>
                <c:pt idx="18">
                  <c:v>1715721.8221137789</c:v>
                </c:pt>
                <c:pt idx="19">
                  <c:v>1932275.3799305169</c:v>
                </c:pt>
                <c:pt idx="20">
                  <c:v>2152873.9983450421</c:v>
                </c:pt>
                <c:pt idx="21">
                  <c:v>2377591.59940264</c:v>
                </c:pt>
                <c:pt idx="22">
                  <c:v>2606503.4125108933</c:v>
                </c:pt>
                <c:pt idx="23">
                  <c:v>2839685.9963775501</c:v>
                </c:pt>
                <c:pt idx="24">
                  <c:v>3077217.2612832556</c:v>
                </c:pt>
                <c:pt idx="25">
                  <c:v>3667507.0541932788</c:v>
                </c:pt>
              </c:numCache>
            </c:numRef>
          </c:val>
          <c:smooth val="0"/>
          <c:extLst>
            <c:ext xmlns:c16="http://schemas.microsoft.com/office/drawing/2014/chart" uri="{C3380CC4-5D6E-409C-BE32-E72D297353CC}">
              <c16:uniqueId val="{00000001-4595-BB4F-9E2E-956E91105F12}"/>
            </c:ext>
          </c:extLst>
        </c:ser>
        <c:dLbls>
          <c:dLblPos val="ctr"/>
          <c:showLegendKey val="0"/>
          <c:showVal val="1"/>
          <c:showCatName val="0"/>
          <c:showSerName val="0"/>
          <c:showPercent val="0"/>
          <c:showBubbleSize val="0"/>
        </c:dLbls>
        <c:smooth val="0"/>
        <c:axId val="-1951624488"/>
        <c:axId val="-1951621480"/>
      </c:lineChart>
      <c:catAx>
        <c:axId val="-1951624488"/>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400" b="1" i="0" u="none" strike="noStrike" kern="1200" cap="all" baseline="0">
                <a:solidFill>
                  <a:schemeClr val="dk1">
                    <a:lumMod val="75000"/>
                    <a:lumOff val="25000"/>
                  </a:schemeClr>
                </a:solidFill>
                <a:latin typeface="+mn-lt"/>
                <a:ea typeface="+mn-ea"/>
                <a:cs typeface="+mn-cs"/>
              </a:defRPr>
            </a:pPr>
            <a:endParaRPr lang="en-US"/>
          </a:p>
        </c:txPr>
        <c:crossAx val="-1951621480"/>
        <c:crosses val="autoZero"/>
        <c:auto val="1"/>
        <c:lblAlgn val="ctr"/>
        <c:lblOffset val="100"/>
        <c:noMultiLvlLbl val="0"/>
      </c:catAx>
      <c:valAx>
        <c:axId val="-1951621480"/>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quot;$&quot;#,##0_);\(&quot;$&quot;#,##0\)" sourceLinked="1"/>
        <c:majorTickMark val="out"/>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crossAx val="-1951624488"/>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16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1" l="0.75" r="0.7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Relative Equity Investment</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947-5A43-9F2F-D4DDBAC0C9F4}"/>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947-5A43-9F2F-D4DDBAC0C9F4}"/>
              </c:ext>
            </c:extLst>
          </c:dPt>
          <c:dLbls>
            <c:dLbl>
              <c:idx val="1"/>
              <c:layout>
                <c:manualLayout>
                  <c:x val="0.17246961752275394"/>
                  <c:y val="8.8433485288023209E-2"/>
                </c:manualLayout>
              </c:layout>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7013888888888887"/>
                      <c:h val="0.17939814814814814"/>
                    </c:manualLayout>
                  </c15:layout>
                </c:ext>
                <c:ext xmlns:c16="http://schemas.microsoft.com/office/drawing/2014/chart" uri="{C3380CC4-5D6E-409C-BE32-E72D297353CC}">
                  <c16:uniqueId val="{00000003-0947-5A43-9F2F-D4DDBAC0C9F4}"/>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'Partnership Flip'!$B$92:$B$93</c:f>
              <c:strCache>
                <c:ptCount val="2"/>
                <c:pt idx="0">
                  <c:v>Tax Equity Partner</c:v>
                </c:pt>
                <c:pt idx="1">
                  <c:v>Developer/Sponsor</c:v>
                </c:pt>
              </c:strCache>
            </c:strRef>
          </c:cat>
          <c:val>
            <c:numRef>
              <c:f>'Partnership Flip'!$C$92:$C$93</c:f>
              <c:numCache>
                <c:formatCode>"$"#,##0_);\("$"#,##0\)</c:formatCode>
                <c:ptCount val="2"/>
                <c:pt idx="0">
                  <c:v>1050000</c:v>
                </c:pt>
                <c:pt idx="1">
                  <c:v>1450000.0000000002</c:v>
                </c:pt>
              </c:numCache>
            </c:numRef>
          </c:val>
          <c:extLst>
            <c:ext xmlns:c16="http://schemas.microsoft.com/office/drawing/2014/chart" uri="{C3380CC4-5D6E-409C-BE32-E72D297353CC}">
              <c16:uniqueId val="{00000004-0947-5A43-9F2F-D4DDBAC0C9F4}"/>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Tax</a:t>
            </a:r>
            <a:r>
              <a:rPr lang="en-US" baseline="0"/>
              <a:t> Benefits and </a:t>
            </a:r>
          </a:p>
          <a:p>
            <a:pPr>
              <a:defRPr/>
            </a:pPr>
            <a:r>
              <a:rPr lang="en-US" baseline="0"/>
              <a:t>Taxable Income by Year</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clustered"/>
        <c:varyColors val="0"/>
        <c:ser>
          <c:idx val="0"/>
          <c:order val="0"/>
          <c:tx>
            <c:strRef>
              <c:f>Unstructured!$C$166</c:f>
              <c:strCache>
                <c:ptCount val="1"/>
                <c:pt idx="0">
                  <c:v>Tax Benefits</c:v>
                </c:pt>
              </c:strCache>
            </c:strRef>
          </c:tx>
          <c:spPr>
            <a:solidFill>
              <a:schemeClr val="accent1">
                <a:alpha val="85000"/>
              </a:schemeClr>
            </a:solidFill>
            <a:ln w="9525" cap="flat" cmpd="sng" algn="ctr">
              <a:solidFill>
                <a:schemeClr val="lt1">
                  <a:alpha val="50000"/>
                </a:schemeClr>
              </a:solidFill>
              <a:round/>
            </a:ln>
            <a:effectLst/>
          </c:spPr>
          <c:invertIfNegative val="0"/>
          <c:cat>
            <c:numRef>
              <c:f>Unstructured!$D$164:$M$164</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Unstructured!$D$166:$M$166</c:f>
              <c:numCache>
                <c:formatCode>"$"#,##0_);\("$"#,##0\)</c:formatCode>
                <c:ptCount val="10"/>
                <c:pt idx="0">
                  <c:v>750000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5025-0648-BA03-36E9220F869D}"/>
            </c:ext>
          </c:extLst>
        </c:ser>
        <c:ser>
          <c:idx val="1"/>
          <c:order val="1"/>
          <c:tx>
            <c:strRef>
              <c:f>Unstructured!$C$167</c:f>
              <c:strCache>
                <c:ptCount val="1"/>
                <c:pt idx="0">
                  <c:v>Taxable Inc.</c:v>
                </c:pt>
              </c:strCache>
            </c:strRef>
          </c:tx>
          <c:spPr>
            <a:solidFill>
              <a:schemeClr val="accent2">
                <a:alpha val="85000"/>
              </a:schemeClr>
            </a:solidFill>
            <a:ln w="9525" cap="flat" cmpd="sng" algn="ctr">
              <a:solidFill>
                <a:schemeClr val="lt1">
                  <a:alpha val="50000"/>
                </a:schemeClr>
              </a:solidFill>
              <a:round/>
            </a:ln>
            <a:effectLst/>
          </c:spPr>
          <c:invertIfNegative val="0"/>
          <c:cat>
            <c:numRef>
              <c:f>Unstructured!$D$164:$M$164</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Unstructured!$D$167:$M$167</c:f>
              <c:numCache>
                <c:formatCode>"$"#,##0_);\("$"#,##0\)</c:formatCode>
                <c:ptCount val="10"/>
                <c:pt idx="0">
                  <c:v>163174.35</c:v>
                </c:pt>
                <c:pt idx="1">
                  <c:v>166242.67770624996</c:v>
                </c:pt>
                <c:pt idx="2">
                  <c:v>169367.61936316162</c:v>
                </c:pt>
                <c:pt idx="3">
                  <c:v>172550.19094644196</c:v>
                </c:pt>
                <c:pt idx="4">
                  <c:v>175791.42589365091</c:v>
                </c:pt>
                <c:pt idx="5">
                  <c:v>179092.37538298932</c:v>
                </c:pt>
                <c:pt idx="6">
                  <c:v>182454.10861592091</c:v>
                </c:pt>
                <c:pt idx="7">
                  <c:v>185877.7131036619</c:v>
                </c:pt>
                <c:pt idx="8">
                  <c:v>189364.29495757178</c:v>
                </c:pt>
                <c:pt idx="9">
                  <c:v>192914.97918347741</c:v>
                </c:pt>
              </c:numCache>
            </c:numRef>
          </c:val>
          <c:extLst>
            <c:ext xmlns:c16="http://schemas.microsoft.com/office/drawing/2014/chart" uri="{C3380CC4-5D6E-409C-BE32-E72D297353CC}">
              <c16:uniqueId val="{00000001-5025-0648-BA03-36E9220F869D}"/>
            </c:ext>
          </c:extLst>
        </c:ser>
        <c:dLbls>
          <c:showLegendKey val="0"/>
          <c:showVal val="0"/>
          <c:showCatName val="0"/>
          <c:showSerName val="0"/>
          <c:showPercent val="0"/>
          <c:showBubbleSize val="0"/>
        </c:dLbls>
        <c:gapWidth val="65"/>
        <c:axId val="1138864032"/>
        <c:axId val="1138865664"/>
      </c:barChart>
      <c:catAx>
        <c:axId val="113886403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200" b="1" i="0" u="none" strike="noStrike" kern="1200" cap="all" baseline="0">
                <a:solidFill>
                  <a:schemeClr val="dk1">
                    <a:lumMod val="75000"/>
                    <a:lumOff val="25000"/>
                  </a:schemeClr>
                </a:solidFill>
                <a:latin typeface="+mn-lt"/>
                <a:ea typeface="+mn-ea"/>
                <a:cs typeface="+mn-cs"/>
              </a:defRPr>
            </a:pPr>
            <a:endParaRPr lang="en-US"/>
          </a:p>
        </c:txPr>
        <c:crossAx val="1138865664"/>
        <c:crosses val="autoZero"/>
        <c:auto val="1"/>
        <c:lblAlgn val="ctr"/>
        <c:lblOffset val="100"/>
        <c:noMultiLvlLbl val="0"/>
      </c:catAx>
      <c:valAx>
        <c:axId val="1138865664"/>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title>
          <c:tx>
            <c:rich>
              <a:bodyPr rot="-540000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r>
                  <a:rPr lang="en-US" sz="1400" b="1"/>
                  <a:t>Dollars</a:t>
                </a:r>
                <a:r>
                  <a:rPr lang="en-US" sz="1400" b="1" baseline="0"/>
                  <a:t> </a:t>
                </a:r>
                <a:endParaRPr lang="en-US" sz="1400" b="1"/>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title>
        <c:numFmt formatCode="&quot;$&quot;#,##0_);\(&quot;$&quot;#,##0\)" sourceLinked="1"/>
        <c:majorTickMark val="out"/>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dk1">
                    <a:lumMod val="75000"/>
                    <a:lumOff val="25000"/>
                  </a:schemeClr>
                </a:solidFill>
                <a:latin typeface="+mn-lt"/>
                <a:ea typeface="+mn-ea"/>
                <a:cs typeface="+mn-cs"/>
              </a:defRPr>
            </a:pPr>
            <a:endParaRPr lang="en-US"/>
          </a:p>
        </c:txPr>
        <c:crossAx val="1138864032"/>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1100" b="1"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Tax Benefits: Origin Year vs. </a:t>
            </a:r>
          </a:p>
          <a:p>
            <a:pPr>
              <a:defRPr/>
            </a:pPr>
            <a:r>
              <a:rPr lang="en-US"/>
              <a:t>Unused Balance of Tax Benefits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clustered"/>
        <c:varyColors val="0"/>
        <c:ser>
          <c:idx val="0"/>
          <c:order val="0"/>
          <c:tx>
            <c:v>Origin Year</c:v>
          </c:tx>
          <c:spPr>
            <a:solidFill>
              <a:schemeClr val="accent1">
                <a:alpha val="85000"/>
              </a:schemeClr>
            </a:solidFill>
            <a:ln w="9525" cap="flat" cmpd="sng" algn="ctr">
              <a:solidFill>
                <a:schemeClr val="lt1">
                  <a:alpha val="50000"/>
                </a:schemeClr>
              </a:solidFill>
              <a:round/>
            </a:ln>
            <a:effectLst/>
          </c:spPr>
          <c:invertIfNegative val="0"/>
          <c:cat>
            <c:numRef>
              <c:f>Unstructured!$D$164:$M$164</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Unstructured!$D$166:$M$166</c:f>
              <c:numCache>
                <c:formatCode>"$"#,##0_);\("$"#,##0\)</c:formatCode>
                <c:ptCount val="10"/>
                <c:pt idx="0">
                  <c:v>750000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A63E-1C47-A864-AE97F6DF68EB}"/>
            </c:ext>
          </c:extLst>
        </c:ser>
        <c:ser>
          <c:idx val="1"/>
          <c:order val="1"/>
          <c:tx>
            <c:v>Unused Balance of Tax Benefits</c:v>
          </c:tx>
          <c:spPr>
            <a:solidFill>
              <a:schemeClr val="accent2">
                <a:alpha val="85000"/>
              </a:schemeClr>
            </a:solidFill>
            <a:ln w="9525" cap="flat" cmpd="sng" algn="ctr">
              <a:solidFill>
                <a:schemeClr val="lt1">
                  <a:alpha val="50000"/>
                </a:schemeClr>
              </a:solidFill>
              <a:round/>
            </a:ln>
            <a:effectLst/>
          </c:spPr>
          <c:invertIfNegative val="0"/>
          <c:cat>
            <c:numRef>
              <c:f>Unstructured!$D$164:$M$164</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Unstructured!$D$174:$M$174</c:f>
              <c:numCache>
                <c:formatCode>"$"#,##0_);\("$"#,##0\)</c:formatCode>
                <c:ptCount val="10"/>
                <c:pt idx="0">
                  <c:v>586825.65</c:v>
                </c:pt>
                <c:pt idx="1">
                  <c:v>420582.97229375003</c:v>
                </c:pt>
                <c:pt idx="2">
                  <c:v>251215.35293058841</c:v>
                </c:pt>
                <c:pt idx="3">
                  <c:v>78665.161984146456</c:v>
                </c:pt>
                <c:pt idx="4">
                  <c:v>0</c:v>
                </c:pt>
                <c:pt idx="5">
                  <c:v>0</c:v>
                </c:pt>
                <c:pt idx="6">
                  <c:v>0</c:v>
                </c:pt>
                <c:pt idx="7">
                  <c:v>0</c:v>
                </c:pt>
                <c:pt idx="8">
                  <c:v>0</c:v>
                </c:pt>
                <c:pt idx="9">
                  <c:v>0</c:v>
                </c:pt>
              </c:numCache>
            </c:numRef>
          </c:val>
          <c:extLst>
            <c:ext xmlns:c16="http://schemas.microsoft.com/office/drawing/2014/chart" uri="{C3380CC4-5D6E-409C-BE32-E72D297353CC}">
              <c16:uniqueId val="{00000001-A63E-1C47-A864-AE97F6DF68EB}"/>
            </c:ext>
          </c:extLst>
        </c:ser>
        <c:dLbls>
          <c:showLegendKey val="0"/>
          <c:showVal val="0"/>
          <c:showCatName val="0"/>
          <c:showSerName val="0"/>
          <c:showPercent val="0"/>
          <c:showBubbleSize val="0"/>
        </c:dLbls>
        <c:gapWidth val="65"/>
        <c:axId val="1182555952"/>
        <c:axId val="1182598800"/>
      </c:barChart>
      <c:catAx>
        <c:axId val="11825559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100" b="1" i="0" u="none" strike="noStrike" kern="1200" cap="all" baseline="0">
                <a:solidFill>
                  <a:schemeClr val="dk1">
                    <a:lumMod val="75000"/>
                    <a:lumOff val="25000"/>
                  </a:schemeClr>
                </a:solidFill>
                <a:latin typeface="+mn-lt"/>
                <a:ea typeface="+mn-ea"/>
                <a:cs typeface="+mn-cs"/>
              </a:defRPr>
            </a:pPr>
            <a:endParaRPr lang="en-US"/>
          </a:p>
        </c:txPr>
        <c:crossAx val="1182598800"/>
        <c:crosses val="autoZero"/>
        <c:auto val="1"/>
        <c:lblAlgn val="ctr"/>
        <c:lblOffset val="100"/>
        <c:noMultiLvlLbl val="0"/>
      </c:catAx>
      <c:valAx>
        <c:axId val="1182598800"/>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quot;$&quot;#,##0_);\(&quot;$&quot;#,##0\)"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dk1">
                    <a:lumMod val="75000"/>
                    <a:lumOff val="25000"/>
                  </a:schemeClr>
                </a:solidFill>
                <a:latin typeface="+mn-lt"/>
                <a:ea typeface="+mn-ea"/>
                <a:cs typeface="+mn-cs"/>
              </a:defRPr>
            </a:pPr>
            <a:endParaRPr lang="en-US"/>
          </a:p>
        </c:txPr>
        <c:crossAx val="1182555952"/>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1100" b="1"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Estimated PPA Price vs. Utility Price</a:t>
            </a:r>
          </a:p>
        </c:rich>
      </c:tx>
      <c:overlay val="0"/>
    </c:title>
    <c:autoTitleDeleted val="0"/>
    <c:plotArea>
      <c:layout/>
      <c:lineChart>
        <c:grouping val="standard"/>
        <c:varyColors val="0"/>
        <c:ser>
          <c:idx val="0"/>
          <c:order val="0"/>
          <c:tx>
            <c:strRef>
              <c:f>'Customer Analysis'!$B$91</c:f>
              <c:strCache>
                <c:ptCount val="1"/>
                <c:pt idx="0">
                  <c:v>Current Utility Price</c:v>
                </c:pt>
              </c:strCache>
            </c:strRef>
          </c:tx>
          <c:marker>
            <c:symbol val="none"/>
          </c:marker>
          <c:val>
            <c:numRef>
              <c:f>'Customer Analysis'!$D$91:$AB$91</c:f>
              <c:numCache>
                <c:formatCode>"$"#,##0.00_);\("$"#,##0.00\)</c:formatCode>
                <c:ptCount val="25"/>
                <c:pt idx="0">
                  <c:v>0.14560000000000001</c:v>
                </c:pt>
                <c:pt idx="1">
                  <c:v>0.151424</c:v>
                </c:pt>
                <c:pt idx="2">
                  <c:v>0.15748096</c:v>
                </c:pt>
                <c:pt idx="3">
                  <c:v>0.16378019839999999</c:v>
                </c:pt>
                <c:pt idx="4">
                  <c:v>0.17033140633600002</c:v>
                </c:pt>
                <c:pt idx="5">
                  <c:v>0.17714466258944003</c:v>
                </c:pt>
                <c:pt idx="6">
                  <c:v>0.18423044909301764</c:v>
                </c:pt>
                <c:pt idx="7">
                  <c:v>0.19159966705673834</c:v>
                </c:pt>
                <c:pt idx="8">
                  <c:v>0.1992636537390079</c:v>
                </c:pt>
                <c:pt idx="9">
                  <c:v>0.2072341998885682</c:v>
                </c:pt>
                <c:pt idx="10">
                  <c:v>0.21552356788411095</c:v>
                </c:pt>
                <c:pt idx="11">
                  <c:v>0.22414451059947538</c:v>
                </c:pt>
                <c:pt idx="12">
                  <c:v>0.23311029102345443</c:v>
                </c:pt>
                <c:pt idx="13">
                  <c:v>0.2424347026643926</c:v>
                </c:pt>
                <c:pt idx="14">
                  <c:v>0.25213209077096832</c:v>
                </c:pt>
                <c:pt idx="15">
                  <c:v>0.26221737440180704</c:v>
                </c:pt>
                <c:pt idx="16">
                  <c:v>0.27270606937787933</c:v>
                </c:pt>
                <c:pt idx="17">
                  <c:v>0.28361431215299449</c:v>
                </c:pt>
                <c:pt idx="18">
                  <c:v>0.29495888463911435</c:v>
                </c:pt>
                <c:pt idx="19">
                  <c:v>0.30675724002467891</c:v>
                </c:pt>
                <c:pt idx="20">
                  <c:v>0.31902752962566605</c:v>
                </c:pt>
                <c:pt idx="21">
                  <c:v>0.33178863081069276</c:v>
                </c:pt>
                <c:pt idx="22">
                  <c:v>0.34506017604312045</c:v>
                </c:pt>
                <c:pt idx="23">
                  <c:v>0.35886258308484531</c:v>
                </c:pt>
                <c:pt idx="24">
                  <c:v>0.37321708640823914</c:v>
                </c:pt>
              </c:numCache>
            </c:numRef>
          </c:val>
          <c:smooth val="0"/>
          <c:extLst>
            <c:ext xmlns:c16="http://schemas.microsoft.com/office/drawing/2014/chart" uri="{C3380CC4-5D6E-409C-BE32-E72D297353CC}">
              <c16:uniqueId val="{00000000-FB1B-E348-B24C-EC3C0B8C97D3}"/>
            </c:ext>
          </c:extLst>
        </c:ser>
        <c:ser>
          <c:idx val="1"/>
          <c:order val="1"/>
          <c:tx>
            <c:strRef>
              <c:f>'Customer Analysis'!$B$92</c:f>
              <c:strCache>
                <c:ptCount val="1"/>
                <c:pt idx="0">
                  <c:v>Est. PPA Price</c:v>
                </c:pt>
              </c:strCache>
            </c:strRef>
          </c:tx>
          <c:marker>
            <c:symbol val="none"/>
          </c:marker>
          <c:val>
            <c:numRef>
              <c:f>'Customer Analysis'!$D$92:$AB$92</c:f>
              <c:numCache>
                <c:formatCode>"$"#,##0.00_);\("$"#,##0.00\)</c:formatCode>
                <c:ptCount val="25"/>
                <c:pt idx="0">
                  <c:v>0.13</c:v>
                </c:pt>
                <c:pt idx="1">
                  <c:v>0.13324999999999998</c:v>
                </c:pt>
                <c:pt idx="2">
                  <c:v>0.13658124999999996</c:v>
                </c:pt>
                <c:pt idx="3">
                  <c:v>0.13999578124999995</c:v>
                </c:pt>
                <c:pt idx="4">
                  <c:v>0.14349567578124994</c:v>
                </c:pt>
                <c:pt idx="5">
                  <c:v>0.14708306767578117</c:v>
                </c:pt>
                <c:pt idx="6">
                  <c:v>0.15076014436767568</c:v>
                </c:pt>
                <c:pt idx="7">
                  <c:v>0.15452914797686756</c:v>
                </c:pt>
                <c:pt idx="8">
                  <c:v>0.15839237667628925</c:v>
                </c:pt>
                <c:pt idx="9">
                  <c:v>0.16235218609319646</c:v>
                </c:pt>
                <c:pt idx="10">
                  <c:v>0.16641099074552634</c:v>
                </c:pt>
                <c:pt idx="11">
                  <c:v>0.17057126551416449</c:v>
                </c:pt>
                <c:pt idx="12">
                  <c:v>0.17483554715201857</c:v>
                </c:pt>
                <c:pt idx="13">
                  <c:v>0.17920643583081902</c:v>
                </c:pt>
                <c:pt idx="14">
                  <c:v>0.18368659672658949</c:v>
                </c:pt>
                <c:pt idx="15">
                  <c:v>0.18827876164475421</c:v>
                </c:pt>
                <c:pt idx="16">
                  <c:v>0.19298573068587305</c:v>
                </c:pt>
                <c:pt idx="17">
                  <c:v>0.19781037395301987</c:v>
                </c:pt>
                <c:pt idx="18">
                  <c:v>0.20275563330184534</c:v>
                </c:pt>
                <c:pt idx="19">
                  <c:v>0.20782452413439145</c:v>
                </c:pt>
                <c:pt idx="20">
                  <c:v>0.21302013723775123</c:v>
                </c:pt>
                <c:pt idx="21">
                  <c:v>0.218345640668695</c:v>
                </c:pt>
                <c:pt idx="22">
                  <c:v>0.22380428168541236</c:v>
                </c:pt>
                <c:pt idx="23">
                  <c:v>0.22939938872754764</c:v>
                </c:pt>
                <c:pt idx="24">
                  <c:v>0.23513437344573632</c:v>
                </c:pt>
              </c:numCache>
            </c:numRef>
          </c:val>
          <c:smooth val="0"/>
          <c:extLst>
            <c:ext xmlns:c16="http://schemas.microsoft.com/office/drawing/2014/chart" uri="{C3380CC4-5D6E-409C-BE32-E72D297353CC}">
              <c16:uniqueId val="{00000001-FB1B-E348-B24C-EC3C0B8C97D3}"/>
            </c:ext>
          </c:extLst>
        </c:ser>
        <c:dLbls>
          <c:showLegendKey val="0"/>
          <c:showVal val="0"/>
          <c:showCatName val="0"/>
          <c:showSerName val="0"/>
          <c:showPercent val="0"/>
          <c:showBubbleSize val="0"/>
        </c:dLbls>
        <c:smooth val="0"/>
        <c:axId val="-1951488424"/>
        <c:axId val="-1951485448"/>
      </c:lineChart>
      <c:catAx>
        <c:axId val="-1951488424"/>
        <c:scaling>
          <c:orientation val="minMax"/>
        </c:scaling>
        <c:delete val="0"/>
        <c:axPos val="b"/>
        <c:majorTickMark val="out"/>
        <c:minorTickMark val="none"/>
        <c:tickLblPos val="nextTo"/>
        <c:crossAx val="-1951485448"/>
        <c:crosses val="autoZero"/>
        <c:auto val="1"/>
        <c:lblAlgn val="ctr"/>
        <c:lblOffset val="100"/>
        <c:noMultiLvlLbl val="0"/>
      </c:catAx>
      <c:valAx>
        <c:axId val="-1951485448"/>
        <c:scaling>
          <c:orientation val="minMax"/>
        </c:scaling>
        <c:delete val="0"/>
        <c:axPos val="l"/>
        <c:majorGridlines/>
        <c:numFmt formatCode="&quot;$&quot;#,##0.00_);\(&quot;$&quot;#,##0.00\)" sourceLinked="1"/>
        <c:majorTickMark val="out"/>
        <c:minorTickMark val="none"/>
        <c:tickLblPos val="nextTo"/>
        <c:crossAx val="-1951488424"/>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Est. Levelized Cost of Electricity for Purchase/Buyout</a:t>
            </a:r>
            <a:r>
              <a:rPr lang="en-US" baseline="0"/>
              <a:t> Options</a:t>
            </a:r>
            <a:r>
              <a:rPr lang="en-US"/>
              <a:t> </a:t>
            </a:r>
          </a:p>
        </c:rich>
      </c:tx>
      <c:overlay val="0"/>
    </c:title>
    <c:autoTitleDeleted val="0"/>
    <c:plotArea>
      <c:layout/>
      <c:barChart>
        <c:barDir val="col"/>
        <c:grouping val="stacked"/>
        <c:varyColors val="0"/>
        <c:ser>
          <c:idx val="0"/>
          <c:order val="0"/>
          <c:invertIfNegative val="0"/>
          <c:cat>
            <c:strRef>
              <c:f>'Customer Analysis'!$B$84:$B$89</c:f>
              <c:strCache>
                <c:ptCount val="6"/>
                <c:pt idx="0">
                  <c:v>Year 1</c:v>
                </c:pt>
                <c:pt idx="1">
                  <c:v>Year 7</c:v>
                </c:pt>
                <c:pt idx="2">
                  <c:v>Year 10</c:v>
                </c:pt>
                <c:pt idx="3">
                  <c:v>Year 15</c:v>
                </c:pt>
                <c:pt idx="4">
                  <c:v>Year 20</c:v>
                </c:pt>
                <c:pt idx="5">
                  <c:v>Year 25</c:v>
                </c:pt>
              </c:strCache>
            </c:strRef>
          </c:cat>
          <c:val>
            <c:numRef>
              <c:f>'Customer Analysis'!$C$84:$C$89</c:f>
              <c:numCache>
                <c:formatCode>"$"#,##0.000_);\("$"#,##0.000\)</c:formatCode>
                <c:ptCount val="6"/>
                <c:pt idx="0">
                  <c:v>8.2587064877600022E-2</c:v>
                </c:pt>
                <c:pt idx="1">
                  <c:v>0.11135579170049366</c:v>
                </c:pt>
                <c:pt idx="2">
                  <c:v>0.12805400286434218</c:v>
                </c:pt>
                <c:pt idx="3">
                  <c:v>0.15387344372016329</c:v>
                </c:pt>
                <c:pt idx="4">
                  <c:v>0.17479027939828909</c:v>
                </c:pt>
                <c:pt idx="5">
                  <c:v>0.19417872062562669</c:v>
                </c:pt>
              </c:numCache>
            </c:numRef>
          </c:val>
          <c:extLst>
            <c:ext xmlns:c16="http://schemas.microsoft.com/office/drawing/2014/chart" uri="{C3380CC4-5D6E-409C-BE32-E72D297353CC}">
              <c16:uniqueId val="{00000000-4F29-534A-9293-5D3711D9E33C}"/>
            </c:ext>
          </c:extLst>
        </c:ser>
        <c:dLbls>
          <c:showLegendKey val="0"/>
          <c:showVal val="0"/>
          <c:showCatName val="0"/>
          <c:showSerName val="0"/>
          <c:showPercent val="0"/>
          <c:showBubbleSize val="0"/>
        </c:dLbls>
        <c:gapWidth val="150"/>
        <c:overlap val="100"/>
        <c:axId val="-1951459560"/>
        <c:axId val="-1951456616"/>
      </c:barChart>
      <c:catAx>
        <c:axId val="-1951459560"/>
        <c:scaling>
          <c:orientation val="minMax"/>
        </c:scaling>
        <c:delete val="0"/>
        <c:axPos val="b"/>
        <c:numFmt formatCode="General" sourceLinked="0"/>
        <c:majorTickMark val="out"/>
        <c:minorTickMark val="none"/>
        <c:tickLblPos val="nextTo"/>
        <c:crossAx val="-1951456616"/>
        <c:crosses val="autoZero"/>
        <c:auto val="1"/>
        <c:lblAlgn val="ctr"/>
        <c:lblOffset val="100"/>
        <c:noMultiLvlLbl val="0"/>
      </c:catAx>
      <c:valAx>
        <c:axId val="-1951456616"/>
        <c:scaling>
          <c:orientation val="minMax"/>
        </c:scaling>
        <c:delete val="0"/>
        <c:axPos val="l"/>
        <c:majorGridlines/>
        <c:numFmt formatCode="&quot;$&quot;#,##0.000_);\(&quot;$&quot;#,##0.000\)" sourceLinked="1"/>
        <c:majorTickMark val="out"/>
        <c:minorTickMark val="none"/>
        <c:tickLblPos val="nextTo"/>
        <c:crossAx val="-1951459560"/>
        <c:crosses val="autoZero"/>
        <c:crossBetween val="between"/>
      </c:valAx>
    </c:plotArea>
    <c:plotVisOnly val="1"/>
    <c:dispBlanksAs val="gap"/>
    <c:showDLblsOverMax val="0"/>
  </c:chart>
  <c:printSettings>
    <c:headerFooter/>
    <c:pageMargins b="1" l="0.75" r="0.75"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Est. NPV of Customer Savings - 25 Yr. PPA</a:t>
            </a:r>
          </a:p>
        </c:rich>
      </c:tx>
      <c:layout>
        <c:manualLayout>
          <c:xMode val="edge"/>
          <c:yMode val="edge"/>
          <c:x val="0.16584349883725699"/>
          <c:y val="2.7777777777777801E-2"/>
        </c:manualLayout>
      </c:layout>
      <c:overlay val="0"/>
    </c:title>
    <c:autoTitleDeleted val="0"/>
    <c:plotArea>
      <c:layout/>
      <c:barChart>
        <c:barDir val="col"/>
        <c:grouping val="stacked"/>
        <c:varyColors val="0"/>
        <c:ser>
          <c:idx val="0"/>
          <c:order val="0"/>
          <c:tx>
            <c:strRef>
              <c:f>'Customer Analysis'!$B$81</c:f>
              <c:strCache>
                <c:ptCount val="1"/>
                <c:pt idx="0">
                  <c:v>NPV of Customer Savings over 25 Year Term</c:v>
                </c:pt>
              </c:strCache>
            </c:strRef>
          </c:tx>
          <c:invertIfNegative val="0"/>
          <c:val>
            <c:numRef>
              <c:f>'Customer Analysis'!$D$81</c:f>
              <c:numCache>
                <c:formatCode>"$"#,##0_);\("$"#,##0\)</c:formatCode>
                <c:ptCount val="1"/>
                <c:pt idx="0">
                  <c:v>712069.50899572193</c:v>
                </c:pt>
              </c:numCache>
            </c:numRef>
          </c:val>
          <c:extLst>
            <c:ext xmlns:c16="http://schemas.microsoft.com/office/drawing/2014/chart" uri="{C3380CC4-5D6E-409C-BE32-E72D297353CC}">
              <c16:uniqueId val="{00000000-30AE-E043-B670-F982737FBB1C}"/>
            </c:ext>
          </c:extLst>
        </c:ser>
        <c:dLbls>
          <c:showLegendKey val="0"/>
          <c:showVal val="0"/>
          <c:showCatName val="0"/>
          <c:showSerName val="0"/>
          <c:showPercent val="0"/>
          <c:showBubbleSize val="0"/>
        </c:dLbls>
        <c:gapWidth val="150"/>
        <c:overlap val="100"/>
        <c:axId val="-1951431288"/>
        <c:axId val="-1951428344"/>
      </c:barChart>
      <c:catAx>
        <c:axId val="-1951431288"/>
        <c:scaling>
          <c:orientation val="minMax"/>
        </c:scaling>
        <c:delete val="0"/>
        <c:axPos val="b"/>
        <c:majorTickMark val="out"/>
        <c:minorTickMark val="none"/>
        <c:tickLblPos val="nextTo"/>
        <c:crossAx val="-1951428344"/>
        <c:crosses val="autoZero"/>
        <c:auto val="1"/>
        <c:lblAlgn val="ctr"/>
        <c:lblOffset val="100"/>
        <c:noMultiLvlLbl val="0"/>
      </c:catAx>
      <c:valAx>
        <c:axId val="-1951428344"/>
        <c:scaling>
          <c:orientation val="minMax"/>
        </c:scaling>
        <c:delete val="0"/>
        <c:axPos val="l"/>
        <c:majorGridlines/>
        <c:numFmt formatCode="&quot;$&quot;#,##0_);\(&quot;$&quot;#,##0\)" sourceLinked="1"/>
        <c:majorTickMark val="out"/>
        <c:minorTickMark val="none"/>
        <c:tickLblPos val="nextTo"/>
        <c:crossAx val="-1951431288"/>
        <c:crosses val="autoZero"/>
        <c:crossBetween val="between"/>
      </c:valAx>
    </c:plotArea>
    <c:plotVisOnly val="1"/>
    <c:dispBlanksAs val="gap"/>
    <c:showDLblsOverMax val="0"/>
  </c:chart>
  <c:printSettings>
    <c:headerFooter/>
    <c:pageMargins b="1" l="0.75" r="0.75"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Est.</a:t>
            </a:r>
            <a:r>
              <a:rPr lang="en-US" baseline="0"/>
              <a:t> Annual </a:t>
            </a:r>
            <a:r>
              <a:rPr lang="en-US"/>
              <a:t>Customer Savings</a:t>
            </a:r>
          </a:p>
        </c:rich>
      </c:tx>
      <c:overlay val="0"/>
    </c:title>
    <c:autoTitleDeleted val="0"/>
    <c:plotArea>
      <c:layout/>
      <c:barChart>
        <c:barDir val="col"/>
        <c:grouping val="stacked"/>
        <c:varyColors val="0"/>
        <c:ser>
          <c:idx val="0"/>
          <c:order val="0"/>
          <c:tx>
            <c:strRef>
              <c:f>'Customer Analysis'!$B$80</c:f>
              <c:strCache>
                <c:ptCount val="1"/>
                <c:pt idx="0">
                  <c:v>Customer Savings</c:v>
                </c:pt>
              </c:strCache>
            </c:strRef>
          </c:tx>
          <c:invertIfNegative val="0"/>
          <c:val>
            <c:numRef>
              <c:f>'Customer Analysis'!$D$80:$AB$80</c:f>
              <c:numCache>
                <c:formatCode>"$"#,##0_);\("$"#,##0\)</c:formatCode>
                <c:ptCount val="25"/>
                <c:pt idx="0">
                  <c:v>23672.921999999991</c:v>
                </c:pt>
                <c:pt idx="1">
                  <c:v>27441.059359350038</c:v>
                </c:pt>
                <c:pt idx="2">
                  <c:v>31398.846252321237</c:v>
                </c:pt>
                <c:pt idx="3">
                  <c:v>35554.045534959674</c:v>
                </c:pt>
                <c:pt idx="4">
                  <c:v>39914.713326366036</c:v>
                </c:pt>
                <c:pt idx="5">
                  <c:v>44489.209673673322</c:v>
                </c:pt>
                <c:pt idx="6">
                  <c:v>49286.209597297333</c:v>
                </c:pt>
                <c:pt idx="7">
                  <c:v>54314.714529874735</c:v>
                </c:pt>
                <c:pt idx="8">
                  <c:v>59584.064162772876</c:v>
                </c:pt>
                <c:pt idx="9">
                  <c:v>65103.948714545055</c:v>
                </c:pt>
                <c:pt idx="10">
                  <c:v>70884.421636207291</c:v>
                </c:pt>
                <c:pt idx="11">
                  <c:v>76935.912768732931</c:v>
                </c:pt>
                <c:pt idx="12">
                  <c:v>83269.241968704795</c:v>
                </c:pt>
                <c:pt idx="13">
                  <c:v>89895.633218618575</c:v>
                </c:pt>
                <c:pt idx="14">
                  <c:v>96826.729238913715</c:v>
                </c:pt>
                <c:pt idx="15">
                  <c:v>104074.60661940282</c:v>
                </c:pt>
                <c:pt idx="16">
                  <c:v>111651.7914883921</c:v>
                </c:pt>
                <c:pt idx="17">
                  <c:v>119571.27573842497</c:v>
                </c:pt>
                <c:pt idx="18">
                  <c:v>127846.53382824565</c:v>
                </c:pt>
                <c:pt idx="19">
                  <c:v>136491.54018126271</c:v>
                </c:pt>
                <c:pt idx="20">
                  <c:v>145520.78720150853</c:v>
                </c:pt>
                <c:pt idx="21">
                  <c:v>154949.30392882007</c:v>
                </c:pt>
                <c:pt idx="22">
                  <c:v>164792.67535572936</c:v>
                </c:pt>
                <c:pt idx="23">
                  <c:v>175067.06242934265</c:v>
                </c:pt>
                <c:pt idx="24">
                  <c:v>185789.22276229592</c:v>
                </c:pt>
              </c:numCache>
            </c:numRef>
          </c:val>
          <c:extLst>
            <c:ext xmlns:c16="http://schemas.microsoft.com/office/drawing/2014/chart" uri="{C3380CC4-5D6E-409C-BE32-E72D297353CC}">
              <c16:uniqueId val="{00000000-E0A1-C642-805B-6FF5221A7E72}"/>
            </c:ext>
          </c:extLst>
        </c:ser>
        <c:dLbls>
          <c:showLegendKey val="0"/>
          <c:showVal val="0"/>
          <c:showCatName val="0"/>
          <c:showSerName val="0"/>
          <c:showPercent val="0"/>
          <c:showBubbleSize val="0"/>
        </c:dLbls>
        <c:gapWidth val="150"/>
        <c:overlap val="100"/>
        <c:axId val="-1952421960"/>
        <c:axId val="-1952424920"/>
      </c:barChart>
      <c:catAx>
        <c:axId val="-1952421960"/>
        <c:scaling>
          <c:orientation val="minMax"/>
        </c:scaling>
        <c:delete val="0"/>
        <c:axPos val="b"/>
        <c:majorTickMark val="out"/>
        <c:minorTickMark val="none"/>
        <c:tickLblPos val="nextTo"/>
        <c:crossAx val="-1952424920"/>
        <c:crosses val="autoZero"/>
        <c:auto val="1"/>
        <c:lblAlgn val="ctr"/>
        <c:lblOffset val="100"/>
        <c:noMultiLvlLbl val="0"/>
      </c:catAx>
      <c:valAx>
        <c:axId val="-1952424920"/>
        <c:scaling>
          <c:orientation val="minMax"/>
        </c:scaling>
        <c:delete val="0"/>
        <c:axPos val="l"/>
        <c:majorGridlines/>
        <c:numFmt formatCode="&quot;$&quot;#,##0_);\(&quot;$&quot;#,##0\)" sourceLinked="1"/>
        <c:majorTickMark val="out"/>
        <c:minorTickMark val="none"/>
        <c:tickLblPos val="nextTo"/>
        <c:crossAx val="-1952421960"/>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Utility Purchases &amp; Solar Purchases (kWh)</a:t>
            </a:r>
          </a:p>
        </c:rich>
      </c:tx>
      <c:overlay val="0"/>
    </c:title>
    <c:autoTitleDeleted val="0"/>
    <c:plotArea>
      <c:layout/>
      <c:lineChart>
        <c:grouping val="standard"/>
        <c:varyColors val="0"/>
        <c:ser>
          <c:idx val="0"/>
          <c:order val="0"/>
          <c:tx>
            <c:strRef>
              <c:f>'Customer Analysis'!$B$94</c:f>
              <c:strCache>
                <c:ptCount val="1"/>
                <c:pt idx="0">
                  <c:v>Utility Purchases</c:v>
                </c:pt>
              </c:strCache>
            </c:strRef>
          </c:tx>
          <c:marker>
            <c:symbol val="none"/>
          </c:marker>
          <c:val>
            <c:numRef>
              <c:f>'Customer Analysis'!$D$94:$AB$94</c:f>
              <c:numCache>
                <c:formatCode>#,##0.0_);\(#,##0.0\)</c:formatCode>
                <c:ptCount val="25"/>
                <c:pt idx="0">
                  <c:v>10446505</c:v>
                </c:pt>
                <c:pt idx="1">
                  <c:v>10454092.475</c:v>
                </c:pt>
                <c:pt idx="2">
                  <c:v>10461642.012625</c:v>
                </c:pt>
                <c:pt idx="3">
                  <c:v>10469153.802561875</c:v>
                </c:pt>
                <c:pt idx="4">
                  <c:v>10476628.033549067</c:v>
                </c:pt>
                <c:pt idx="5">
                  <c:v>10484064.89338132</c:v>
                </c:pt>
                <c:pt idx="6">
                  <c:v>10491464.568914413</c:v>
                </c:pt>
                <c:pt idx="7">
                  <c:v>10498827.246069841</c:v>
                </c:pt>
                <c:pt idx="8">
                  <c:v>10506153.109839493</c:v>
                </c:pt>
                <c:pt idx="9">
                  <c:v>10513442.344290296</c:v>
                </c:pt>
                <c:pt idx="10">
                  <c:v>10520695.132568844</c:v>
                </c:pt>
                <c:pt idx="11">
                  <c:v>10527911.656905999</c:v>
                </c:pt>
                <c:pt idx="12">
                  <c:v>10535092.098621469</c:v>
                </c:pt>
                <c:pt idx="13">
                  <c:v>10542236.638128363</c:v>
                </c:pt>
                <c:pt idx="14">
                  <c:v>10549345.454937721</c:v>
                </c:pt>
                <c:pt idx="15">
                  <c:v>10556418.727663033</c:v>
                </c:pt>
                <c:pt idx="16">
                  <c:v>10563456.634024717</c:v>
                </c:pt>
                <c:pt idx="17">
                  <c:v>10570459.350854592</c:v>
                </c:pt>
                <c:pt idx="18">
                  <c:v>10577427.05410032</c:v>
                </c:pt>
                <c:pt idx="19">
                  <c:v>10584359.918829819</c:v>
                </c:pt>
                <c:pt idx="20">
                  <c:v>10591258.11923567</c:v>
                </c:pt>
                <c:pt idx="21">
                  <c:v>10598121.828639492</c:v>
                </c:pt>
                <c:pt idx="22">
                  <c:v>10604951.219496295</c:v>
                </c:pt>
                <c:pt idx="23">
                  <c:v>10611746.463398812</c:v>
                </c:pt>
                <c:pt idx="24">
                  <c:v>10618507.731081819</c:v>
                </c:pt>
              </c:numCache>
            </c:numRef>
          </c:val>
          <c:smooth val="0"/>
          <c:extLst>
            <c:ext xmlns:c16="http://schemas.microsoft.com/office/drawing/2014/chart" uri="{C3380CC4-5D6E-409C-BE32-E72D297353CC}">
              <c16:uniqueId val="{00000000-B985-0946-B0B9-D1C44A2FEE22}"/>
            </c:ext>
          </c:extLst>
        </c:ser>
        <c:ser>
          <c:idx val="1"/>
          <c:order val="1"/>
          <c:tx>
            <c:strRef>
              <c:f>'Customer Analysis'!$B$95</c:f>
              <c:strCache>
                <c:ptCount val="1"/>
                <c:pt idx="0">
                  <c:v>Solar Purchases</c:v>
                </c:pt>
              </c:strCache>
            </c:strRef>
          </c:tx>
          <c:marker>
            <c:symbol val="none"/>
          </c:marker>
          <c:val>
            <c:numRef>
              <c:f>'Customer Analysis'!$D$95:$AB$95</c:f>
              <c:numCache>
                <c:formatCode>#,##0.0_);\(#,##0.0\)</c:formatCode>
                <c:ptCount val="25"/>
                <c:pt idx="0">
                  <c:v>1517495</c:v>
                </c:pt>
                <c:pt idx="1">
                  <c:v>1509907.5249999999</c:v>
                </c:pt>
                <c:pt idx="2">
                  <c:v>1502357.9873749998</c:v>
                </c:pt>
                <c:pt idx="3">
                  <c:v>1494846.1974381248</c:v>
                </c:pt>
                <c:pt idx="4">
                  <c:v>1487371.9664509341</c:v>
                </c:pt>
                <c:pt idx="5">
                  <c:v>1479935.1066186794</c:v>
                </c:pt>
                <c:pt idx="6">
                  <c:v>1472535.4310855858</c:v>
                </c:pt>
                <c:pt idx="7">
                  <c:v>1465172.753930158</c:v>
                </c:pt>
                <c:pt idx="8">
                  <c:v>1457846.8901605073</c:v>
                </c:pt>
                <c:pt idx="9">
                  <c:v>1450557.6557097048</c:v>
                </c:pt>
                <c:pt idx="10">
                  <c:v>1443304.8674311563</c:v>
                </c:pt>
                <c:pt idx="11">
                  <c:v>1436088.3430940006</c:v>
                </c:pt>
                <c:pt idx="12">
                  <c:v>1428907.9013785305</c:v>
                </c:pt>
                <c:pt idx="13">
                  <c:v>1421763.3618716379</c:v>
                </c:pt>
                <c:pt idx="14">
                  <c:v>1414654.5450622796</c:v>
                </c:pt>
                <c:pt idx="15">
                  <c:v>1407581.2723369682</c:v>
                </c:pt>
                <c:pt idx="16">
                  <c:v>1400543.3659752833</c:v>
                </c:pt>
                <c:pt idx="17">
                  <c:v>1393540.6491454069</c:v>
                </c:pt>
                <c:pt idx="18">
                  <c:v>1386572.9458996798</c:v>
                </c:pt>
                <c:pt idx="19">
                  <c:v>1379640.0811701813</c:v>
                </c:pt>
                <c:pt idx="20">
                  <c:v>1372741.8807643303</c:v>
                </c:pt>
                <c:pt idx="21">
                  <c:v>1365878.1713605085</c:v>
                </c:pt>
                <c:pt idx="22">
                  <c:v>1359048.7805037061</c:v>
                </c:pt>
                <c:pt idx="23">
                  <c:v>1352253.5366011874</c:v>
                </c:pt>
                <c:pt idx="24">
                  <c:v>1345492.2689181815</c:v>
                </c:pt>
              </c:numCache>
            </c:numRef>
          </c:val>
          <c:smooth val="0"/>
          <c:extLst>
            <c:ext xmlns:c16="http://schemas.microsoft.com/office/drawing/2014/chart" uri="{C3380CC4-5D6E-409C-BE32-E72D297353CC}">
              <c16:uniqueId val="{00000001-B985-0946-B0B9-D1C44A2FEE22}"/>
            </c:ext>
          </c:extLst>
        </c:ser>
        <c:dLbls>
          <c:showLegendKey val="0"/>
          <c:showVal val="0"/>
          <c:showCatName val="0"/>
          <c:showSerName val="0"/>
          <c:showPercent val="0"/>
          <c:showBubbleSize val="0"/>
        </c:dLbls>
        <c:smooth val="0"/>
        <c:axId val="-2092171384"/>
        <c:axId val="-2092565032"/>
      </c:lineChart>
      <c:catAx>
        <c:axId val="-2092171384"/>
        <c:scaling>
          <c:orientation val="minMax"/>
        </c:scaling>
        <c:delete val="0"/>
        <c:axPos val="b"/>
        <c:majorTickMark val="out"/>
        <c:minorTickMark val="none"/>
        <c:tickLblPos val="nextTo"/>
        <c:crossAx val="-2092565032"/>
        <c:crosses val="autoZero"/>
        <c:auto val="1"/>
        <c:lblAlgn val="ctr"/>
        <c:lblOffset val="100"/>
        <c:noMultiLvlLbl val="0"/>
      </c:catAx>
      <c:valAx>
        <c:axId val="-2092565032"/>
        <c:scaling>
          <c:orientation val="minMax"/>
        </c:scaling>
        <c:delete val="0"/>
        <c:axPos val="l"/>
        <c:majorGridlines/>
        <c:numFmt formatCode="#,##0.0_);\(#,##0.0\)" sourceLinked="1"/>
        <c:majorTickMark val="out"/>
        <c:minorTickMark val="none"/>
        <c:tickLblPos val="nextTo"/>
        <c:crossAx val="-2092171384"/>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Solar Fraction - 1st Year</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explosion val="25"/>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cat>
            <c:strRef>
              <c:f>'Customer Analysis'!$B$94:$B$95</c:f>
              <c:strCache>
                <c:ptCount val="2"/>
                <c:pt idx="0">
                  <c:v>Utility Purchases</c:v>
                </c:pt>
                <c:pt idx="1">
                  <c:v>Solar Purchases</c:v>
                </c:pt>
              </c:strCache>
            </c:strRef>
          </c:cat>
          <c:val>
            <c:numRef>
              <c:f>'Customer Analysis'!$D$94:$D$95</c:f>
              <c:numCache>
                <c:formatCode>#,##0.0_);\(#,##0.0\)</c:formatCode>
                <c:ptCount val="2"/>
                <c:pt idx="0">
                  <c:v>10446505</c:v>
                </c:pt>
                <c:pt idx="1">
                  <c:v>1517495</c:v>
                </c:pt>
              </c:numCache>
            </c:numRef>
          </c:val>
          <c:extLst>
            <c:ext xmlns:c16="http://schemas.microsoft.com/office/drawing/2014/chart" uri="{C3380CC4-5D6E-409C-BE32-E72D297353CC}">
              <c16:uniqueId val="{00000000-7A38-5D4E-9086-0EADE28140A0}"/>
            </c:ext>
          </c:extLst>
        </c:ser>
        <c:dLbls>
          <c:showLegendKey val="0"/>
          <c:showVal val="0"/>
          <c:showCatName val="1"/>
          <c:showSerName val="0"/>
          <c:showPercent val="1"/>
          <c:showBubbleSize val="0"/>
          <c:showLeaderLines val="0"/>
        </c:dLbls>
      </c:pie3DChart>
    </c:plotArea>
    <c:plotVisOnly val="1"/>
    <c:dispBlanksAs val="gap"/>
    <c:showDLblsOverMax val="0"/>
  </c:chart>
  <c:printSettings>
    <c:headerFooter/>
    <c:pageMargins b="1" l="0.75" r="0.75" t="1"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15.xml"/><Relationship Id="rId1"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chart" Target="../charts/chart18.xml"/><Relationship Id="rId7" Type="http://schemas.openxmlformats.org/officeDocument/2006/relationships/image" Target="../media/image1.png"/><Relationship Id="rId2" Type="http://schemas.openxmlformats.org/officeDocument/2006/relationships/chart" Target="../charts/chart17.xml"/><Relationship Id="rId1" Type="http://schemas.openxmlformats.org/officeDocument/2006/relationships/chart" Target="../charts/chart16.xml"/><Relationship Id="rId6" Type="http://schemas.openxmlformats.org/officeDocument/2006/relationships/chart" Target="../charts/chart21.xml"/><Relationship Id="rId5" Type="http://schemas.openxmlformats.org/officeDocument/2006/relationships/chart" Target="../charts/chart20.xml"/><Relationship Id="rId4"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xdr:twoCellAnchor editAs="oneCell">
    <xdr:from>
      <xdr:col>0</xdr:col>
      <xdr:colOff>144021</xdr:colOff>
      <xdr:row>0</xdr:row>
      <xdr:rowOff>0</xdr:rowOff>
    </xdr:from>
    <xdr:to>
      <xdr:col>4</xdr:col>
      <xdr:colOff>4333711</xdr:colOff>
      <xdr:row>12</xdr:row>
      <xdr:rowOff>54594</xdr:rowOff>
    </xdr:to>
    <xdr:pic>
      <xdr:nvPicPr>
        <xdr:cNvPr id="2" name="Picture 1">
          <a:extLst>
            <a:ext uri="{FF2B5EF4-FFF2-40B4-BE49-F238E27FC236}">
              <a16:creationId xmlns:a16="http://schemas.microsoft.com/office/drawing/2014/main" id="{45D5A197-8A06-B84A-A11C-C20C94B6695D}"/>
            </a:ext>
          </a:extLst>
        </xdr:cNvPr>
        <xdr:cNvPicPr>
          <a:picLocks noChangeAspect="1"/>
        </xdr:cNvPicPr>
      </xdr:nvPicPr>
      <xdr:blipFill>
        <a:blip xmlns:r="http://schemas.openxmlformats.org/officeDocument/2006/relationships" r:embed="rId1"/>
        <a:stretch>
          <a:fillRect/>
        </a:stretch>
      </xdr:blipFill>
      <xdr:spPr>
        <a:xfrm>
          <a:off x="144021" y="0"/>
          <a:ext cx="9335154" cy="28826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17</xdr:col>
      <xdr:colOff>330200</xdr:colOff>
      <xdr:row>13</xdr:row>
      <xdr:rowOff>101600</xdr:rowOff>
    </xdr:from>
    <xdr:to>
      <xdr:col>27</xdr:col>
      <xdr:colOff>241300</xdr:colOff>
      <xdr:row>25</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254000</xdr:colOff>
      <xdr:row>27</xdr:row>
      <xdr:rowOff>25400</xdr:rowOff>
    </xdr:from>
    <xdr:to>
      <xdr:col>33</xdr:col>
      <xdr:colOff>381000</xdr:colOff>
      <xdr:row>40</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88900</xdr:colOff>
      <xdr:row>13</xdr:row>
      <xdr:rowOff>127000</xdr:rowOff>
    </xdr:from>
    <xdr:to>
      <xdr:col>42</xdr:col>
      <xdr:colOff>254000</xdr:colOff>
      <xdr:row>26</xdr:row>
      <xdr:rowOff>114300</xdr:rowOff>
    </xdr:to>
    <xdr:graphicFrame macro="">
      <xdr:nvGraphicFramePr>
        <xdr:cNvPr id="11" name="Chart 10">
          <a:extLst>
            <a:ext uri="{FF2B5EF4-FFF2-40B4-BE49-F238E27FC236}">
              <a16:creationId xmlns:a16="http://schemas.microsoft.com/office/drawing/2014/main" id="{00000000-0008-0000-01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35</xdr:col>
      <xdr:colOff>457200</xdr:colOff>
      <xdr:row>44</xdr:row>
      <xdr:rowOff>0</xdr:rowOff>
    </xdr:from>
    <xdr:to>
      <xdr:col>43</xdr:col>
      <xdr:colOff>469900</xdr:colOff>
      <xdr:row>57</xdr:row>
      <xdr:rowOff>190500</xdr:rowOff>
    </xdr:to>
    <xdr:graphicFrame macro="">
      <xdr:nvGraphicFramePr>
        <xdr:cNvPr id="14" name="Chart 13">
          <a:extLst>
            <a:ext uri="{FF2B5EF4-FFF2-40B4-BE49-F238E27FC236}">
              <a16:creationId xmlns:a16="http://schemas.microsoft.com/office/drawing/2014/main" id="{00000000-0008-0000-01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139700</xdr:colOff>
      <xdr:row>43</xdr:row>
      <xdr:rowOff>190500</xdr:rowOff>
    </xdr:from>
    <xdr:to>
      <xdr:col>35</xdr:col>
      <xdr:colOff>76200</xdr:colOff>
      <xdr:row>58</xdr:row>
      <xdr:rowOff>12700</xdr:rowOff>
    </xdr:to>
    <xdr:graphicFrame macro="">
      <xdr:nvGraphicFramePr>
        <xdr:cNvPr id="19" name="Chart 18">
          <a:extLst>
            <a:ext uri="{FF2B5EF4-FFF2-40B4-BE49-F238E27FC236}">
              <a16:creationId xmlns:a16="http://schemas.microsoft.com/office/drawing/2014/main" id="{00000000-0008-0000-01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35</xdr:col>
      <xdr:colOff>469900</xdr:colOff>
      <xdr:row>74</xdr:row>
      <xdr:rowOff>25400</xdr:rowOff>
    </xdr:from>
    <xdr:to>
      <xdr:col>43</xdr:col>
      <xdr:colOff>508000</xdr:colOff>
      <xdr:row>101</xdr:row>
      <xdr:rowOff>127000</xdr:rowOff>
    </xdr:to>
    <xdr:graphicFrame macro="">
      <xdr:nvGraphicFramePr>
        <xdr:cNvPr id="20" name="Chart 19">
          <a:extLst>
            <a:ext uri="{FF2B5EF4-FFF2-40B4-BE49-F238E27FC236}">
              <a16:creationId xmlns:a16="http://schemas.microsoft.com/office/drawing/2014/main" id="{00000000-0008-0000-01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35</xdr:col>
      <xdr:colOff>482600</xdr:colOff>
      <xdr:row>58</xdr:row>
      <xdr:rowOff>127000</xdr:rowOff>
    </xdr:from>
    <xdr:to>
      <xdr:col>43</xdr:col>
      <xdr:colOff>482600</xdr:colOff>
      <xdr:row>72</xdr:row>
      <xdr:rowOff>165100</xdr:rowOff>
    </xdr:to>
    <xdr:graphicFrame macro="">
      <xdr:nvGraphicFramePr>
        <xdr:cNvPr id="23" name="Chart 22">
          <a:extLst>
            <a:ext uri="{FF2B5EF4-FFF2-40B4-BE49-F238E27FC236}">
              <a16:creationId xmlns:a16="http://schemas.microsoft.com/office/drawing/2014/main" id="{00000000-0008-0000-01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28</xdr:col>
      <xdr:colOff>127000</xdr:colOff>
      <xdr:row>58</xdr:row>
      <xdr:rowOff>152400</xdr:rowOff>
    </xdr:from>
    <xdr:to>
      <xdr:col>35</xdr:col>
      <xdr:colOff>152400</xdr:colOff>
      <xdr:row>73</xdr:row>
      <xdr:rowOff>12700</xdr:rowOff>
    </xdr:to>
    <xdr:graphicFrame macro="">
      <xdr:nvGraphicFramePr>
        <xdr:cNvPr id="24" name="Chart 23">
          <a:extLst>
            <a:ext uri="{FF2B5EF4-FFF2-40B4-BE49-F238E27FC236}">
              <a16:creationId xmlns:a16="http://schemas.microsoft.com/office/drawing/2014/main" id="{00000000-0008-0000-01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28</xdr:col>
      <xdr:colOff>228600</xdr:colOff>
      <xdr:row>13</xdr:row>
      <xdr:rowOff>127000</xdr:rowOff>
    </xdr:from>
    <xdr:to>
      <xdr:col>33</xdr:col>
      <xdr:colOff>431800</xdr:colOff>
      <xdr:row>26</xdr:row>
      <xdr:rowOff>88900</xdr:rowOff>
    </xdr:to>
    <xdr:graphicFrame macro="">
      <xdr:nvGraphicFramePr>
        <xdr:cNvPr id="25" name="Chart 24">
          <a:extLst>
            <a:ext uri="{FF2B5EF4-FFF2-40B4-BE49-F238E27FC236}">
              <a16:creationId xmlns:a16="http://schemas.microsoft.com/office/drawing/2014/main" id="{00000000-0008-0000-01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17</xdr:col>
      <xdr:colOff>334433</xdr:colOff>
      <xdr:row>26</xdr:row>
      <xdr:rowOff>46567</xdr:rowOff>
    </xdr:from>
    <xdr:to>
      <xdr:col>27</xdr:col>
      <xdr:colOff>270932</xdr:colOff>
      <xdr:row>40</xdr:row>
      <xdr:rowOff>110067</xdr:rowOff>
    </xdr:to>
    <xdr:graphicFrame macro="">
      <xdr:nvGraphicFramePr>
        <xdr:cNvPr id="15" name="Chart 14">
          <a:extLst>
            <a:ext uri="{FF2B5EF4-FFF2-40B4-BE49-F238E27FC236}">
              <a16:creationId xmlns:a16="http://schemas.microsoft.com/office/drawing/2014/main" id="{00000000-0008-0000-01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266700</xdr:colOff>
      <xdr:row>71</xdr:row>
      <xdr:rowOff>50799</xdr:rowOff>
    </xdr:from>
    <xdr:to>
      <xdr:col>21</xdr:col>
      <xdr:colOff>126999</xdr:colOff>
      <xdr:row>91</xdr:row>
      <xdr:rowOff>120252</xdr:rowOff>
    </xdr:to>
    <xdr:graphicFrame macro="">
      <xdr:nvGraphicFramePr>
        <xdr:cNvPr id="17" name="Chart 16">
          <a:extLst>
            <a:ext uri="{FF2B5EF4-FFF2-40B4-BE49-F238E27FC236}">
              <a16:creationId xmlns:a16="http://schemas.microsoft.com/office/drawing/2014/main" id="{88D37F03-69BE-1347-BFD0-15558DEB7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254000</xdr:colOff>
      <xdr:row>92</xdr:row>
      <xdr:rowOff>127001</xdr:rowOff>
    </xdr:from>
    <xdr:to>
      <xdr:col>21</xdr:col>
      <xdr:colOff>126999</xdr:colOff>
      <xdr:row>112</xdr:row>
      <xdr:rowOff>127000</xdr:rowOff>
    </xdr:to>
    <xdr:graphicFrame macro="">
      <xdr:nvGraphicFramePr>
        <xdr:cNvPr id="18" name="Chart 17">
          <a:extLst>
            <a:ext uri="{FF2B5EF4-FFF2-40B4-BE49-F238E27FC236}">
              <a16:creationId xmlns:a16="http://schemas.microsoft.com/office/drawing/2014/main" id="{2527659C-14A0-6B4A-B863-8F3562BE70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17</xdr:col>
      <xdr:colOff>76200</xdr:colOff>
      <xdr:row>51</xdr:row>
      <xdr:rowOff>76200</xdr:rowOff>
    </xdr:from>
    <xdr:to>
      <xdr:col>20</xdr:col>
      <xdr:colOff>1054100</xdr:colOff>
      <xdr:row>66</xdr:row>
      <xdr:rowOff>12700</xdr:rowOff>
    </xdr:to>
    <xdr:graphicFrame macro="">
      <xdr:nvGraphicFramePr>
        <xdr:cNvPr id="21" name="Chart 20">
          <a:extLst>
            <a:ext uri="{FF2B5EF4-FFF2-40B4-BE49-F238E27FC236}">
              <a16:creationId xmlns:a16="http://schemas.microsoft.com/office/drawing/2014/main" id="{5D80AC24-FA28-DB45-A6AD-B3F10678E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9</xdr:col>
      <xdr:colOff>0</xdr:colOff>
      <xdr:row>3</xdr:row>
      <xdr:rowOff>0</xdr:rowOff>
    </xdr:from>
    <xdr:to>
      <xdr:col>9</xdr:col>
      <xdr:colOff>304800</xdr:colOff>
      <xdr:row>4</xdr:row>
      <xdr:rowOff>50800</xdr:rowOff>
    </xdr:to>
    <xdr:sp macro="" textlink="">
      <xdr:nvSpPr>
        <xdr:cNvPr id="1163" name="&lt;5B8D24DF-1703-4EFC-8415-6B0243EB6610&gt;" descr="SDC-logo-color-horizontal.jpg">
          <a:extLst>
            <a:ext uri="{FF2B5EF4-FFF2-40B4-BE49-F238E27FC236}">
              <a16:creationId xmlns:a16="http://schemas.microsoft.com/office/drawing/2014/main" id="{007B91D5-7D58-FA16-6671-A727FA505BE1}"/>
            </a:ext>
          </a:extLst>
        </xdr:cNvPr>
        <xdr:cNvSpPr>
          <a:spLocks noChangeAspect="1" noChangeArrowheads="1"/>
        </xdr:cNvSpPr>
      </xdr:nvSpPr>
      <xdr:spPr bwMode="auto">
        <a:xfrm>
          <a:off x="9931400" y="685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291955</xdr:colOff>
      <xdr:row>0</xdr:row>
      <xdr:rowOff>131381</xdr:rowOff>
    </xdr:from>
    <xdr:to>
      <xdr:col>6</xdr:col>
      <xdr:colOff>677772</xdr:colOff>
      <xdr:row>8</xdr:row>
      <xdr:rowOff>237798</xdr:rowOff>
    </xdr:to>
    <xdr:pic>
      <xdr:nvPicPr>
        <xdr:cNvPr id="2" name="Picture 1">
          <a:extLst>
            <a:ext uri="{FF2B5EF4-FFF2-40B4-BE49-F238E27FC236}">
              <a16:creationId xmlns:a16="http://schemas.microsoft.com/office/drawing/2014/main" id="{DDDE453D-AC90-F486-7557-CCDA3253610C}"/>
            </a:ext>
          </a:extLst>
        </xdr:cNvPr>
        <xdr:cNvPicPr>
          <a:picLocks noChangeAspect="1"/>
        </xdr:cNvPicPr>
      </xdr:nvPicPr>
      <xdr:blipFill>
        <a:blip xmlns:r="http://schemas.openxmlformats.org/officeDocument/2006/relationships" r:embed="rId14"/>
        <a:stretch>
          <a:fillRect/>
        </a:stretch>
      </xdr:blipFill>
      <xdr:spPr>
        <a:xfrm>
          <a:off x="291955" y="131381"/>
          <a:ext cx="6210300" cy="19177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804333</xdr:colOff>
      <xdr:row>175</xdr:row>
      <xdr:rowOff>165101</xdr:rowOff>
    </xdr:from>
    <xdr:to>
      <xdr:col>13</xdr:col>
      <xdr:colOff>397933</xdr:colOff>
      <xdr:row>192</xdr:row>
      <xdr:rowOff>29633</xdr:rowOff>
    </xdr:to>
    <xdr:graphicFrame macro="">
      <xdr:nvGraphicFramePr>
        <xdr:cNvPr id="2" name="Chart 1">
          <a:extLst>
            <a:ext uri="{FF2B5EF4-FFF2-40B4-BE49-F238E27FC236}">
              <a16:creationId xmlns:a16="http://schemas.microsoft.com/office/drawing/2014/main" id="{48660CC9-19ED-AF43-B3C2-C5EA1415ED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148167</xdr:colOff>
      <xdr:row>175</xdr:row>
      <xdr:rowOff>165100</xdr:rowOff>
    </xdr:from>
    <xdr:to>
      <xdr:col>7</xdr:col>
      <xdr:colOff>461433</xdr:colOff>
      <xdr:row>192</xdr:row>
      <xdr:rowOff>29633</xdr:rowOff>
    </xdr:to>
    <xdr:graphicFrame macro="">
      <xdr:nvGraphicFramePr>
        <xdr:cNvPr id="3" name="Chart 2">
          <a:extLst>
            <a:ext uri="{FF2B5EF4-FFF2-40B4-BE49-F238E27FC236}">
              <a16:creationId xmlns:a16="http://schemas.microsoft.com/office/drawing/2014/main" id="{778A5E61-EA32-454E-95E5-25197EC0E0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258722</xdr:colOff>
      <xdr:row>1</xdr:row>
      <xdr:rowOff>203200</xdr:rowOff>
    </xdr:from>
    <xdr:to>
      <xdr:col>6</xdr:col>
      <xdr:colOff>167083</xdr:colOff>
      <xdr:row>9</xdr:row>
      <xdr:rowOff>91440</xdr:rowOff>
    </xdr:to>
    <xdr:pic>
      <xdr:nvPicPr>
        <xdr:cNvPr id="4" name="Picture 3">
          <a:extLst>
            <a:ext uri="{FF2B5EF4-FFF2-40B4-BE49-F238E27FC236}">
              <a16:creationId xmlns:a16="http://schemas.microsoft.com/office/drawing/2014/main" id="{4E662140-73BA-FD4F-AAE9-D97E2BD923BC}"/>
            </a:ext>
          </a:extLst>
        </xdr:cNvPr>
        <xdr:cNvPicPr>
          <a:picLocks noChangeAspect="1"/>
        </xdr:cNvPicPr>
      </xdr:nvPicPr>
      <xdr:blipFill>
        <a:blip xmlns:r="http://schemas.openxmlformats.org/officeDocument/2006/relationships" r:embed="rId3"/>
        <a:stretch>
          <a:fillRect/>
        </a:stretch>
      </xdr:blipFill>
      <xdr:spPr>
        <a:xfrm>
          <a:off x="258722" y="368300"/>
          <a:ext cx="6281221" cy="19558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381000</xdr:colOff>
      <xdr:row>1</xdr:row>
      <xdr:rowOff>0</xdr:rowOff>
    </xdr:from>
    <xdr:to>
      <xdr:col>6</xdr:col>
      <xdr:colOff>119117</xdr:colOff>
      <xdr:row>8</xdr:row>
      <xdr:rowOff>119117</xdr:rowOff>
    </xdr:to>
    <xdr:pic>
      <xdr:nvPicPr>
        <xdr:cNvPr id="2" name="Picture 1">
          <a:extLst>
            <a:ext uri="{FF2B5EF4-FFF2-40B4-BE49-F238E27FC236}">
              <a16:creationId xmlns:a16="http://schemas.microsoft.com/office/drawing/2014/main" id="{1EF9309A-85D4-884F-8736-BE8C24F6AE8E}"/>
            </a:ext>
          </a:extLst>
        </xdr:cNvPr>
        <xdr:cNvPicPr>
          <a:picLocks noChangeAspect="1"/>
        </xdr:cNvPicPr>
      </xdr:nvPicPr>
      <xdr:blipFill>
        <a:blip xmlns:r="http://schemas.openxmlformats.org/officeDocument/2006/relationships" r:embed="rId1"/>
        <a:stretch>
          <a:fillRect/>
        </a:stretch>
      </xdr:blipFill>
      <xdr:spPr>
        <a:xfrm>
          <a:off x="381000" y="165100"/>
          <a:ext cx="6215117" cy="193521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279400</xdr:colOff>
      <xdr:row>97</xdr:row>
      <xdr:rowOff>50800</xdr:rowOff>
    </xdr:from>
    <xdr:to>
      <xdr:col>11</xdr:col>
      <xdr:colOff>241300</xdr:colOff>
      <xdr:row>114</xdr:row>
      <xdr:rowOff>0</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203200</xdr:colOff>
      <xdr:row>132</xdr:row>
      <xdr:rowOff>38100</xdr:rowOff>
    </xdr:from>
    <xdr:to>
      <xdr:col>3</xdr:col>
      <xdr:colOff>876300</xdr:colOff>
      <xdr:row>147</xdr:row>
      <xdr:rowOff>114300</xdr:rowOff>
    </xdr:to>
    <xdr:graphicFrame macro="">
      <xdr:nvGraphicFramePr>
        <xdr:cNvPr id="7" name="Chart 6">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279400</xdr:colOff>
      <xdr:row>97</xdr:row>
      <xdr:rowOff>38100</xdr:rowOff>
    </xdr:from>
    <xdr:to>
      <xdr:col>3</xdr:col>
      <xdr:colOff>952500</xdr:colOff>
      <xdr:row>113</xdr:row>
      <xdr:rowOff>127000</xdr:rowOff>
    </xdr:to>
    <xdr:graphicFrame macro="">
      <xdr:nvGraphicFramePr>
        <xdr:cNvPr id="8" name="Chart 7">
          <a:extLst>
            <a:ext uri="{FF2B5EF4-FFF2-40B4-BE49-F238E27FC236}">
              <a16:creationId xmlns:a16="http://schemas.microsoft.com/office/drawing/2014/main" id="{00000000-0008-0000-04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292100</xdr:colOff>
      <xdr:row>132</xdr:row>
      <xdr:rowOff>50800</xdr:rowOff>
    </xdr:from>
    <xdr:to>
      <xdr:col>11</xdr:col>
      <xdr:colOff>279400</xdr:colOff>
      <xdr:row>147</xdr:row>
      <xdr:rowOff>127000</xdr:rowOff>
    </xdr:to>
    <xdr:graphicFrame macro="">
      <xdr:nvGraphicFramePr>
        <xdr:cNvPr id="9" name="Chart 8">
          <a:extLst>
            <a:ext uri="{FF2B5EF4-FFF2-40B4-BE49-F238E27FC236}">
              <a16:creationId xmlns:a16="http://schemas.microsoft.com/office/drawing/2014/main" id="{00000000-0008-0000-04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279400</xdr:colOff>
      <xdr:row>114</xdr:row>
      <xdr:rowOff>127000</xdr:rowOff>
    </xdr:from>
    <xdr:to>
      <xdr:col>11</xdr:col>
      <xdr:colOff>241300</xdr:colOff>
      <xdr:row>131</xdr:row>
      <xdr:rowOff>63500</xdr:rowOff>
    </xdr:to>
    <xdr:graphicFrame macro="">
      <xdr:nvGraphicFramePr>
        <xdr:cNvPr id="10" name="Chart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215900</xdr:colOff>
      <xdr:row>114</xdr:row>
      <xdr:rowOff>114300</xdr:rowOff>
    </xdr:from>
    <xdr:to>
      <xdr:col>3</xdr:col>
      <xdr:colOff>901700</xdr:colOff>
      <xdr:row>131</xdr:row>
      <xdr:rowOff>50800</xdr:rowOff>
    </xdr:to>
    <xdr:graphicFrame macro="">
      <xdr:nvGraphicFramePr>
        <xdr:cNvPr id="11" name="Chart 10">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330200</xdr:colOff>
      <xdr:row>1</xdr:row>
      <xdr:rowOff>127000</xdr:rowOff>
    </xdr:from>
    <xdr:to>
      <xdr:col>6</xdr:col>
      <xdr:colOff>589017</xdr:colOff>
      <xdr:row>8</xdr:row>
      <xdr:rowOff>144517</xdr:rowOff>
    </xdr:to>
    <xdr:pic>
      <xdr:nvPicPr>
        <xdr:cNvPr id="2" name="Picture 1">
          <a:extLst>
            <a:ext uri="{FF2B5EF4-FFF2-40B4-BE49-F238E27FC236}">
              <a16:creationId xmlns:a16="http://schemas.microsoft.com/office/drawing/2014/main" id="{4C37B2F6-BF50-7840-AED7-565B8BA58292}"/>
            </a:ext>
          </a:extLst>
        </xdr:cNvPr>
        <xdr:cNvPicPr>
          <a:picLocks noChangeAspect="1"/>
        </xdr:cNvPicPr>
      </xdr:nvPicPr>
      <xdr:blipFill>
        <a:blip xmlns:r="http://schemas.openxmlformats.org/officeDocument/2006/relationships" r:embed="rId7"/>
        <a:stretch>
          <a:fillRect/>
        </a:stretch>
      </xdr:blipFill>
      <xdr:spPr>
        <a:xfrm>
          <a:off x="330200" y="292100"/>
          <a:ext cx="6215117" cy="193521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Christopher Lord" id="{519DF7C7-6BF0-F944-AFDB-C310B9D4A02F}" userId="Christopher Lord" providerId="None"/>
  <person displayName="Christopher J. Lord" id="{5D687077-3476-FE43-9263-D797783F4196}" userId="S::cjlord@capironinc.com::63240993-293e-47ac-a92a-8904d5d4693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2-09-11T19:46:33.29" personId="{5D687077-3476-FE43-9263-D797783F4196}" id="{A92A1366-BDEA-2D4B-884F-16D6CF07D3F1}">
    <text xml:space="preserve">Note: If the Dashboard cell H34 provides that Owner is a “Non-Taxpayer” then the model will assume the debt is a “tax-exempt” borrowing. That does not impact any of the calculations, except the ITC Dollar Value calculation in cell H50, which is reduced by the lesser of 15% or the proportion of the debt to total capital, in accordance with the Inflation Reduction Act. </text>
  </threadedComment>
  <threadedComment ref="J27" dT="2020-03-30T12:27:09.70" personId="{5D687077-3476-FE43-9263-D797783F4196}" id="{BFDE949E-48CA-5A43-B8A7-09F1A752D19F}">
    <text xml:space="preserve">Be sure to confirm value in cell K34 below.
</text>
  </threadedComment>
  <threadedComment ref="B33" dT="2020-03-28T13:48:52.54" personId="{5D687077-3476-FE43-9263-D797783F4196}" id="{BEC34F8C-F5CD-E343-8A69-19D80822D78C}">
    <text>Note that in this model, the Aggregate Roof Upgrade &amp; Warranty cost is deducted from the Basis for calculating  Depreciation and the ITC, as most roof improvements are not deemed integral to the production of solar energy.</text>
  </threadedComment>
  <threadedComment ref="B36" dT="2020-03-28T13:46:24.47" personId="{5D687077-3476-FE43-9263-D797783F4196}" id="{F6E13B5B-7C14-214F-AF7F-B72D51A0D2A7}">
    <text xml:space="preserve">Note that in this model, if Site Purchase or Lease” (cell J33) is “Yes” in K33, then Cell E34 will have the Site Purchase Price in it. Note that the purchase cost of land is not eligible for depreciation, and this amount is also not includable in Basis for calculating the ITC. </text>
  </threadedComment>
  <threadedComment ref="G36" personId="{519DF7C7-6BF0-F944-AFDB-C310B9D4A02F}" id="{8F614B15-DEB1-1E4D-9279-EF735ACDF320}">
    <text>If MACRS is selected, this model assumes MACRS is also available for State depreciation. 
If Bonus Depr. is seledted, this model assumes that it DOES NOTapply.</text>
  </threadedComment>
  <threadedComment ref="G42" dT="2022-09-11T20:06:53.61" personId="{5D687077-3476-FE43-9263-D797783F4196}" id="{A066F2E2-4E6E-7644-BC0B-7FDCA95C932D}">
    <text>Remember that if your owner is a “Non-Taxpayer” in cell H34 above, then your discount for the ITC Cash Sale in cell H42 ought to be zero because the owner should be eligible for a direct payment option from IRS (in lieu of tax credit) equal to 100% of the ITC. (Discount only applies if a Taxpayer sells the ITC to another party. (And don’t forget to turn on Cash Sale!)</text>
  </threadedComment>
  <threadedComment ref="B44" personId="{519DF7C7-6BF0-F944-AFDB-C310B9D4A02F}" id="{3FE1FDF5-9F3B-704E-8750-DEE082B105EF}">
    <text>Escalation could be historical 10 or 20 year average utility escalation</text>
  </threadedComment>
  <threadedComment ref="G48" dT="2020-12-07T17:07:07.68" personId="{5D687077-3476-FE43-9263-D797783F4196}" id="{AC6D762D-B642-CB4E-ACF5-51683E814E2B}">
    <text xml:space="preserve">Intended only for finer adjustment of ITC Costs than provided in cell D37. Otherwise leave at 0%.  </text>
  </threadedComment>
  <threadedComment ref="B51" personId="{519DF7C7-6BF0-F944-AFDB-C310B9D4A02F}" id="{7324684E-6B5B-0046-AF95-533F400A27CA}">
    <text xml:space="preserve">Formula subtracts Roof Upgrade and Warranty Costs and Site (land) Purchase Price before multiplying by 85% to reduce by half the value of the  ITC.
</text>
  </threadedComment>
  <threadedComment ref="G66" dT="2020-04-06T14:34:55.91" personId="{5D687077-3476-FE43-9263-D797783F4196}" id="{73096742-37DA-3E44-A5E7-5082AA673479}">
    <text xml:space="preserve">Cash-On-Cash Premium calculated as percent of Tax Equity’s investment. </text>
  </threadedComment>
  <threadedComment ref="G67" personId="{519DF7C7-6BF0-F944-AFDB-C310B9D4A02F}" id="{17C4E8CB-2E8A-0C4C-8CCE-DB1234AF02FB}">
    <text xml:space="preserve">Management Incentive Fee set as percentage of remaining cash flow after payment of Cash-On-Cash premium. 
</text>
  </threadedComment>
</ThreadedComments>
</file>

<file path=xl/threadedComments/threadedComment2.xml><?xml version="1.0" encoding="utf-8"?>
<ThreadedComments xmlns="http://schemas.microsoft.com/office/spreadsheetml/2018/threadedcomments" xmlns:x="http://schemas.openxmlformats.org/spreadsheetml/2006/main">
  <threadedComment ref="B29" personId="{519DF7C7-6BF0-F944-AFDB-C310B9D4A02F}" id="{50DC0BC5-04EA-8B41-8F4D-A83DE1237317}">
    <text xml:space="preserve">Configured to calculate sales tax on both Electricity Sales, and SREC Sales.
</text>
  </threadedComment>
  <threadedComment ref="B56" dT="2022-09-07T18:16:05.66" personId="{5D687077-3476-FE43-9263-D797783F4196}" id="{DDE8B421-2708-E446-B95D-111DE76C69D4}">
    <text xml:space="preserve">Assumes State Tax Payments are deductible in calculating Federal Taxable Income. </text>
  </threadedComment>
  <threadedComment ref="B72" dT="2022-09-07T18:15:15.07" personId="{5D687077-3476-FE43-9263-D797783F4196}" id="{6A14BF4E-9C01-6B46-95ED-413D91E44811}">
    <text xml:space="preserve">Assumes State Tax Payments are deductible in calculating Federal Taxable Income. </text>
  </threadedComment>
</ThreadedComments>
</file>

<file path=xl/threadedComments/threadedComment3.xml><?xml version="1.0" encoding="utf-8"?>
<ThreadedComments xmlns="http://schemas.microsoft.com/office/spreadsheetml/2018/threadedcomments" xmlns:x="http://schemas.openxmlformats.org/spreadsheetml/2006/main">
  <threadedComment ref="B37" personId="{519DF7C7-6BF0-F944-AFDB-C310B9D4A02F}" id="{86B75019-B5B8-6E4B-B94D-969917D403EB}">
    <text xml:space="preserve">
Note: Cash-on-Cash Premium Rate is expressed per Annum as % of the Tax Equity’s original Investment.</text>
  </threadedComment>
  <threadedComment ref="B40" dT="2020-04-06T14:36:37.00" personId="{5D687077-3476-FE43-9263-D797783F4196}" id="{1A329D52-A7D8-1E44-866A-371B1D59D1A4}">
    <text xml:space="preserve">Management Incentive Fee set as percentage of remaining cash flow after payment of Cash-On-Cash premium. </text>
  </threadedComment>
</ThreadedComments>
</file>

<file path=xl/threadedComments/threadedComment4.xml><?xml version="1.0" encoding="utf-8"?>
<ThreadedComments xmlns="http://schemas.microsoft.com/office/spreadsheetml/2018/threadedcomments" xmlns:x="http://schemas.openxmlformats.org/spreadsheetml/2006/main">
  <threadedComment ref="B31" dT="2020-04-07T00:13:16.84" personId="{5D687077-3476-FE43-9263-D797783F4196}" id="{96177D7A-4E4D-2145-8C7C-474A353FE214}">
    <text xml:space="preserve">Each cell represents the NPV for the year (Row 17, Column of the cell) as indicated for future payments starting in the next year to the end of 2020. No NPV for the last year as it would have no future payments to discount back.
</text>
  </threadedComment>
  <threadedComment ref="B33" dT="2020-04-07T00:04:08.64" personId="{5D687077-3476-FE43-9263-D797783F4196}" id="{0573F71F-AA3E-5F4D-8041-C16734E39ECE}">
    <text xml:space="preserve">Calculated as greater of NPV of (1) remaining cash and tax benefits flow due to Equity, and (2) a terminal value calculated as a percent of the original Purchase Price.
</text>
  </threadedComment>
  <threadedComment ref="B51" dT="2020-04-06T23:23:01.48" personId="{5D687077-3476-FE43-9263-D797783F4196}" id="{4899C918-87D9-D84D-99F9-C0D3BB847A0E}">
    <text xml:space="preserve">Historical cost of PPA purchases from Placed in Service (start of Year 1) through to the current (buyout) year. </text>
  </threadedComment>
  <threadedComment ref="B52" dT="2020-04-06T23:23:32.26" personId="{5D687077-3476-FE43-9263-D797783F4196}" id="{33545CE2-84A7-5F46-A075-908759B7568C}">
    <text xml:space="preserve">NPV of future operating costs incurred as a result of owning and operating the Solar System. </text>
  </threadedComment>
</ThreadedComments>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microsoft.com/office/2006/relationships/xlBinaryIndex" Target="binaryIndex2.bin"/><Relationship Id="rId5" Type="http://schemas.microsoft.com/office/2017/10/relationships/threadedComment" Target="../threadedComments/threadedComment1.xml"/><Relationship Id="rId4" Type="http://schemas.openxmlformats.org/officeDocument/2006/relationships/comments" Target="../comments1.bin"/></Relationships>
</file>

<file path=xl/worksheets/_rels/sheet3.bin.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microsoft.com/office/2006/relationships/xlBinaryIndex" Target="binaryIndex3.bin"/><Relationship Id="rId5" Type="http://schemas.microsoft.com/office/2017/10/relationships/threadedComment" Target="../threadedComments/threadedComment2.xml"/><Relationship Id="rId4" Type="http://schemas.openxmlformats.org/officeDocument/2006/relationships/comments" Target="../comments2.bin"/></Relationships>
</file>

<file path=xl/worksheets/_rels/sheet4.bin.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microsoft.com/office/2006/relationships/xlBinaryIndex" Target="binaryIndex4.bin"/><Relationship Id="rId5" Type="http://schemas.microsoft.com/office/2017/10/relationships/threadedComment" Target="../threadedComments/threadedComment3.xml"/><Relationship Id="rId4" Type="http://schemas.openxmlformats.org/officeDocument/2006/relationships/comments" Target="../comments3.bin"/></Relationships>
</file>

<file path=xl/worksheets/_rels/sheet5.bin.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microsoft.com/office/2006/relationships/xlBinaryIndex" Target="binaryIndex5.bin"/><Relationship Id="rId5" Type="http://schemas.microsoft.com/office/2017/10/relationships/threadedComment" Target="../threadedComments/threadedComment4.xml"/><Relationship Id="rId4" Type="http://schemas.openxmlformats.org/officeDocument/2006/relationships/comments" Target="../comments4.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F8EF6E87DC2154F967137740E36D8FC" ma:contentTypeVersion="16" ma:contentTypeDescription="Create a new document." ma:contentTypeScope="" ma:versionID="4edf054cdec7097bb0b381f7f5d92c10">
  <xsd:schema xmlns:xsd="http://www.w3.org/2001/XMLSchema" xmlns:xs="http://www.w3.org/2001/XMLSchema" xmlns:p="http://schemas.microsoft.com/office/2006/metadata/properties" xmlns:ns2="e75f526f-0bf7-4deb-8d16-4bd97a4bf191" xmlns:ns3="eddb193d-21d0-44cf-86d8-bfb3503bd0af" targetNamespace="http://schemas.microsoft.com/office/2006/metadata/properties" ma:root="true" ma:fieldsID="bfb3f782b27382eaa4e6f5086e7c9ffa" ns2:_="" ns3:_="">
    <xsd:import namespace="e75f526f-0bf7-4deb-8d16-4bd97a4bf191"/>
    <xsd:import namespace="eddb193d-21d0-44cf-86d8-bfb3503bd0af"/>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2:CompetitionYear" minOccurs="0"/>
                <xsd:element ref="ns3:SharedWithUsers" minOccurs="0"/>
                <xsd:element ref="ns3:SharedWithDetails" minOccurs="0"/>
                <xsd:element ref="ns2:MediaLengthInSeconds" minOccurs="0"/>
                <xsd:element ref="ns2:lcf76f155ced4ddcb4097134ff3c332f" minOccurs="0"/>
                <xsd:element ref="ns3:TaxCatchAll" minOccurs="0"/>
                <xsd:element ref="ns2:MediaServiceLocation"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75f526f-0bf7-4deb-8d16-4bd97a4bf19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CompetitionYear" ma:index="15" nillable="true" ma:displayName="Competition Year" ma:format="Dropdown" ma:internalName="CompetitionYear">
      <xsd:simpleType>
        <xsd:restriction base="dms:Choice">
          <xsd:enumeration value="2020"/>
          <xsd:enumeration value="2021"/>
          <xsd:enumeration value="Evergreen"/>
          <xsd:enumeration value="2022"/>
          <xsd:enumeration value="2023"/>
        </xsd:restriction>
      </xsd:simpleType>
    </xsd:element>
    <xsd:element name="MediaLengthInSeconds" ma:index="18" nillable="true" ma:displayName="MediaLengthInSeconds" ma:hidden="true"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7834da80-57da-4863-8816-2e6886d1e860" ma:termSetId="09814cd3-568e-fe90-9814-8d621ff8fb84" ma:anchorId="fba54fb3-c3e1-fe81-a776-ca4b69148c4d" ma:open="true" ma:isKeyword="false">
      <xsd:complexType>
        <xsd:sequence>
          <xsd:element ref="pc:Terms" minOccurs="0" maxOccurs="1"/>
        </xsd:sequence>
      </xsd:complexType>
    </xsd:element>
    <xsd:element name="MediaServiceLocation" ma:index="22" nillable="true" ma:displayName="Location" ma:internalName="MediaServiceLocation" ma:readOnly="true">
      <xsd:simpleType>
        <xsd:restriction base="dms:Text"/>
      </xsd:simple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ddb193d-21d0-44cf-86d8-bfb3503bd0af"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3df37f61-1a33-4d0d-b878-18dcc0982634}" ma:internalName="TaxCatchAll" ma:showField="CatchAllData" ma:web="eddb193d-21d0-44cf-86d8-bfb3503bd0a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CompetitionYear xmlns="e75f526f-0bf7-4deb-8d16-4bd97a4bf191" xsi:nil="true"/>
    <TaxCatchAll xmlns="eddb193d-21d0-44cf-86d8-bfb3503bd0af" xsi:nil="true"/>
    <lcf76f155ced4ddcb4097134ff3c332f xmlns="e75f526f-0bf7-4deb-8d16-4bd97a4bf191">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A7E89084-F68A-4AED-88A5-47F4D18874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75f526f-0bf7-4deb-8d16-4bd97a4bf191"/>
    <ds:schemaRef ds:uri="eddb193d-21d0-44cf-86d8-bfb3503bd0a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30DBF1E-5C95-4D0C-A543-AF63A4A11CF8}">
  <ds:schemaRefs>
    <ds:schemaRef ds:uri="http://schemas.microsoft.com/sharepoint/v3/contenttype/forms"/>
  </ds:schemaRefs>
</ds:datastoreItem>
</file>

<file path=customXml/itemProps3.xml><?xml version="1.0" encoding="utf-8"?>
<ds:datastoreItem xmlns:ds="http://schemas.openxmlformats.org/officeDocument/2006/customXml" ds:itemID="{CFFAD227-0A25-41C2-A405-80C294BC5A01}">
  <ds:schemaRefs>
    <ds:schemaRef ds:uri="http://schemas.microsoft.com/office/2006/metadata/properties"/>
    <ds:schemaRef ds:uri="http://schemas.microsoft.com/office/infopath/2007/PartnerControls"/>
    <ds:schemaRef ds:uri="e75f526f-0bf7-4deb-8d16-4bd97a4bf191"/>
    <ds:schemaRef ds:uri="eddb193d-21d0-44cf-86d8-bfb3503bd0af"/>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96</vt:i4>
      </vt:variant>
    </vt:vector>
  </HeadingPairs>
  <TitlesOfParts>
    <vt:vector size="101" baseType="lpstr">
      <vt:lpstr>Overview</vt:lpstr>
      <vt:lpstr>Dashboard</vt:lpstr>
      <vt:lpstr>Unstructured</vt:lpstr>
      <vt:lpstr>Partnership Flip</vt:lpstr>
      <vt:lpstr>Customer Analysis</vt:lpstr>
      <vt:lpstr>Additional_ITC_Basis_Reducer_Fine_Tuning</vt:lpstr>
      <vt:lpstr>Aggregate_Construction_Cost</vt:lpstr>
      <vt:lpstr>Aggregate_Project_Cost</vt:lpstr>
      <vt:lpstr>Cash_Equity_Investment_Share</vt:lpstr>
      <vt:lpstr>Cash_Equity_Post_Flip_Share</vt:lpstr>
      <vt:lpstr>Cash_Equity_Pre_Flip_Share</vt:lpstr>
      <vt:lpstr>Cash_on_Cash_Return_Premium</vt:lpstr>
      <vt:lpstr>Construction_Loan?</vt:lpstr>
      <vt:lpstr>Construction_Loan_Amount</vt:lpstr>
      <vt:lpstr>Construction_Loan_Fee</vt:lpstr>
      <vt:lpstr>Construction_Loan_Rate</vt:lpstr>
      <vt:lpstr>Construction_Loan_Term</vt:lpstr>
      <vt:lpstr>Customer_Dem_Charge_Percent</vt:lpstr>
      <vt:lpstr>Customer_Discount_Rate</vt:lpstr>
      <vt:lpstr>Customer_Monthly_kWh_Usage</vt:lpstr>
      <vt:lpstr>Customer_Utility_Charge_Escalator</vt:lpstr>
      <vt:lpstr>Customer_Utility_Charge_kWh</vt:lpstr>
      <vt:lpstr>Depreciation_Basis</vt:lpstr>
      <vt:lpstr>Depreciation_Bonus_Rate</vt:lpstr>
      <vt:lpstr>Depreciation_Methodology?</vt:lpstr>
      <vt:lpstr>Depreciation_Table</vt:lpstr>
      <vt:lpstr>Equity_Investment</vt:lpstr>
      <vt:lpstr>Fed._ITC_Eligible_Property_Value</vt:lpstr>
      <vt:lpstr>Federal_ITC_Cash_Sale_OnOff</vt:lpstr>
      <vt:lpstr>Federal_ITC_Dollar_Value</vt:lpstr>
      <vt:lpstr>Federal_ITC_Rate</vt:lpstr>
      <vt:lpstr>Insurance_Cost_Escalator</vt:lpstr>
      <vt:lpstr>Insurance_Cost_per_Watt_DC</vt:lpstr>
      <vt:lpstr>Interconnection_Costs</vt:lpstr>
      <vt:lpstr>Investor_Discount_Rate</vt:lpstr>
      <vt:lpstr>Investor_Target_Flip_IRR</vt:lpstr>
      <vt:lpstr>ITC_Cash_Sale_Discount_to_Purchase_Price</vt:lpstr>
      <vt:lpstr>ITC_Cash_Sale_First_Year_Payment</vt:lpstr>
      <vt:lpstr>ITC_Cash_Sale_Number_of_Annual_Payments</vt:lpstr>
      <vt:lpstr>ITC_Eligible_Property_Value</vt:lpstr>
      <vt:lpstr>Manual_Entry_Estimated_P50_Production</vt:lpstr>
      <vt:lpstr>Mgt._Fee__Share__of_Remaining_Cash_Flow</vt:lpstr>
      <vt:lpstr>OandM_Cost_Escalator</vt:lpstr>
      <vt:lpstr>OandM_Cost_per_W_DC</vt:lpstr>
      <vt:lpstr>Other_Closing_Costs_Fees</vt:lpstr>
      <vt:lpstr>Owner_is_Taxpayer_Non_Taxpayer?</vt:lpstr>
      <vt:lpstr>P50_Production_1st_Yr</vt:lpstr>
      <vt:lpstr>P95_Production_1st_Yr</vt:lpstr>
      <vt:lpstr>Panel_Degradation_Rate</vt:lpstr>
      <vt:lpstr>PPA_Price_Annual_Escalator</vt:lpstr>
      <vt:lpstr>PPA_Price_kWh</vt:lpstr>
      <vt:lpstr>Production_Delta_P95_P50</vt:lpstr>
      <vt:lpstr>Project_Debt?</vt:lpstr>
      <vt:lpstr>Project_Loan_Amount</vt:lpstr>
      <vt:lpstr>Project_Loan_Coverage_Ratio</vt:lpstr>
      <vt:lpstr>Project_Loan_Debt_Equity_Ratio</vt:lpstr>
      <vt:lpstr>Project_Loan_Rate</vt:lpstr>
      <vt:lpstr>Project_Loan_Term?</vt:lpstr>
      <vt:lpstr>Project_Net_Investment</vt:lpstr>
      <vt:lpstr>Project_Sale_Price</vt:lpstr>
      <vt:lpstr>Property_Equip_Base_Value</vt:lpstr>
      <vt:lpstr>Property_Equip_Book_Adj_Rate</vt:lpstr>
      <vt:lpstr>Property_Equip_Tax_Rate</vt:lpstr>
      <vt:lpstr>Property_Site_Base_Value</vt:lpstr>
      <vt:lpstr>Property_Site_Tax_Rate</vt:lpstr>
      <vt:lpstr>Property_Site_Value_Adj_Rate</vt:lpstr>
      <vt:lpstr>PTC_Annual_Inflator_Rate_Percent</vt:lpstr>
      <vt:lpstr>PTC_Starting_Rate_Dollars_per_MWh</vt:lpstr>
      <vt:lpstr>PTC_Term_in_Years</vt:lpstr>
      <vt:lpstr>Roof_Upgrade_Cost</vt:lpstr>
      <vt:lpstr>Site_Lease_Fixed_Cost</vt:lpstr>
      <vt:lpstr>Site_Lease_Fixed_Escalator</vt:lpstr>
      <vt:lpstr>Site_Lease_Fixed_or_PercentofRev</vt:lpstr>
      <vt:lpstr>Site_Lease_Includes_Taxes</vt:lpstr>
      <vt:lpstr>Site_Lease_Percent_of_Revenue</vt:lpstr>
      <vt:lpstr>Site_Purchase_or_Lease?</vt:lpstr>
      <vt:lpstr>Site_Purchase_Price</vt:lpstr>
      <vt:lpstr>Size_of_System_in_W_DC</vt:lpstr>
      <vt:lpstr>Solar_Production_Source</vt:lpstr>
      <vt:lpstr>SREC_Increase_Decrease</vt:lpstr>
      <vt:lpstr>SREC_Price</vt:lpstr>
      <vt:lpstr>SREC_Size_kWh_per_SREC</vt:lpstr>
      <vt:lpstr>SREC_Term_Yrs</vt:lpstr>
      <vt:lpstr>SRECs_Applicable?</vt:lpstr>
      <vt:lpstr>State_Income_Tax_Rate</vt:lpstr>
      <vt:lpstr>State_ITC_On_Off?</vt:lpstr>
      <vt:lpstr>State_Sales_Tax</vt:lpstr>
      <vt:lpstr>State_Tax_Credit_Basis</vt:lpstr>
      <vt:lpstr>State_Tax_Credit_Rate</vt:lpstr>
      <vt:lpstr>Target_Flip_IRR</vt:lpstr>
      <vt:lpstr>Tax_Credit_Selector_ITC_or_PTC</vt:lpstr>
      <vt:lpstr>Tax_Efficient_Status?</vt:lpstr>
      <vt:lpstr>Tax_Equity_Investment_Share</vt:lpstr>
      <vt:lpstr>Tax_Equity_Post_Flip_Share</vt:lpstr>
      <vt:lpstr>Tax_Equity_Pre_Flip_Share</vt:lpstr>
      <vt:lpstr>Taxpayer_Marginal_Rate</vt:lpstr>
      <vt:lpstr>Terminal_Value_Estimate_Percent</vt:lpstr>
      <vt:lpstr>Termination_Value_OnOff</vt:lpstr>
      <vt:lpstr>Termination_Value_Percentage</vt:lpstr>
      <vt:lpstr>Termination_Value_Table_End_of_Term</vt:lpstr>
      <vt:lpstr>Time_Based_Flip_Target_Year</vt:lpstr>
    </vt:vector>
  </TitlesOfParts>
  <Manager/>
  <Company>CapIron, Inc.</Company>
  <LinksUpToDate>false</LinksUpToDate>
  <SharedDoc>false</SharedDoc>
  <HyperlinkBase>www.CapIronInc.com</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Financial Model for Solar PV Projects</dc:title>
  <dc:subject/>
  <dc:creator>Christopher J. Lord   (CJLord@CapIronInc.com)</dc:creator>
  <cp:keywords/>
  <dc:description>Copyright, 2012, 2016 &amp; 2020; All rights reserved by CapIron, Inc. This model may not be sold, licensed or distributed without the prior written approval of CapIron, Inc. Heatspring Solar MBA students may use this model for their personal use only.</dc:description>
  <cp:lastModifiedBy>Dworning, Joshua</cp:lastModifiedBy>
  <dcterms:created xsi:type="dcterms:W3CDTF">2011-04-16T15:23:42Z</dcterms:created>
  <dcterms:modified xsi:type="dcterms:W3CDTF">2023-11-17T15:51:09Z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0x0101003F8EF6E87DC2154F967137740E36D8FC</vt:lpwstr>
  </property>
</Properties>
</file>